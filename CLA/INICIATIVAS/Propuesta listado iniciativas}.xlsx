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rberenguel001\Desktop\INICIATIVAS\"/>
    </mc:Choice>
  </mc:AlternateContent>
  <xr:revisionPtr revIDLastSave="0" documentId="8_{8933A6F5-499B-4184-B800-FF27540820BC}" xr6:coauthVersionLast="47" xr6:coauthVersionMax="47" xr10:uidLastSave="{00000000-0000-0000-0000-000000000000}"/>
  <bookViews>
    <workbookView xWindow="2295" yWindow="2295" windowWidth="26385" windowHeight="9165" firstSheet="3" activeTab="8" xr2:uid="{D8D48AFB-D2C3-4613-AE17-3C4965BE5411}"/>
  </bookViews>
  <sheets>
    <sheet name="Iniciativas (2)" sheetId="5" r:id="rId1"/>
    <sheet name="Sheet1" sheetId="11" r:id="rId2"/>
    <sheet name="Por actividad (2)" sheetId="6" r:id="rId3"/>
    <sheet name="Resumen Tipo x INI (2)" sheetId="7" r:id="rId4"/>
    <sheet name="Eliminadas (Trazabilidad)" sheetId="8" r:id="rId5"/>
    <sheet name="Mapeo Etapas TO-BE" sheetId="9" r:id="rId6"/>
    <sheet name="Criticidad" sheetId="10" r:id="rId7"/>
    <sheet name="Sheet2" sheetId="12" r:id="rId8"/>
    <sheet name="Orden de Magnitud" sheetId="13" r:id="rId9"/>
  </sheets>
  <definedNames>
    <definedName name="_xlnm._FilterDatabase" localSheetId="6" hidden="1">Criticidad!$A$1:$AA$43</definedName>
    <definedName name="_xlnm._FilterDatabase" localSheetId="0" hidden="1">'Iniciativas (2)'!$A$1:$AG$1</definedName>
    <definedName name="_xlnm._FilterDatabase" localSheetId="2" hidden="1">'Por actividad (2)'!$A$1:$G$234</definedName>
    <definedName name="_xlnm._FilterDatabase" localSheetId="3" hidden="1">'Resumen Tipo x INI (2)'!$A$1:$J$1</definedName>
  </definedNames>
  <calcPr calcId="191028"/>
  <pivotCaches>
    <pivotCache cacheId="0" r:id="rId10"/>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13" l="1"/>
  <c r="C4" i="13"/>
  <c r="C5" i="13"/>
  <c r="C6" i="13"/>
  <c r="C7" i="13"/>
  <c r="C8" i="13"/>
  <c r="C9" i="13"/>
  <c r="C10" i="13"/>
  <c r="C11" i="13"/>
  <c r="C12" i="13"/>
  <c r="C13" i="13"/>
  <c r="C14" i="13"/>
  <c r="C15" i="13"/>
  <c r="C16" i="13"/>
  <c r="C17" i="13"/>
  <c r="C18" i="13"/>
  <c r="C19" i="13"/>
  <c r="C20" i="13"/>
  <c r="C21" i="13"/>
  <c r="C22" i="13"/>
  <c r="C23" i="13"/>
  <c r="C24" i="13"/>
  <c r="C25" i="13"/>
  <c r="C26" i="13"/>
  <c r="C27" i="13"/>
  <c r="C28" i="13"/>
  <c r="C29" i="13"/>
  <c r="C30" i="13"/>
  <c r="C31" i="13"/>
  <c r="C32" i="13"/>
  <c r="C33" i="13"/>
  <c r="C34" i="13"/>
  <c r="C35" i="13"/>
  <c r="C36" i="13"/>
  <c r="C37" i="13"/>
  <c r="C38" i="13"/>
  <c r="C39" i="13"/>
  <c r="C40" i="13"/>
  <c r="C41" i="13"/>
  <c r="C42" i="13"/>
  <c r="C43" i="13"/>
  <c r="C44" i="13"/>
  <c r="C45" i="13"/>
  <c r="C2" i="13"/>
  <c r="B3" i="13"/>
  <c r="B4" i="13"/>
  <c r="B5" i="13"/>
  <c r="B6" i="13"/>
  <c r="B7" i="13"/>
  <c r="B8" i="13"/>
  <c r="B9" i="13"/>
  <c r="B10" i="13"/>
  <c r="B11" i="13"/>
  <c r="B12" i="13"/>
  <c r="B13" i="13"/>
  <c r="B14" i="13"/>
  <c r="B15" i="13"/>
  <c r="B16" i="13"/>
  <c r="B17" i="13"/>
  <c r="B18" i="13"/>
  <c r="B19" i="13"/>
  <c r="B20" i="13"/>
  <c r="B21" i="13"/>
  <c r="B22" i="13"/>
  <c r="B23" i="13"/>
  <c r="B24" i="13"/>
  <c r="B25" i="13"/>
  <c r="B26" i="13"/>
  <c r="B27" i="13"/>
  <c r="B28" i="13"/>
  <c r="B29" i="13"/>
  <c r="B30" i="13"/>
  <c r="B31" i="13"/>
  <c r="B32" i="13"/>
  <c r="B33" i="13"/>
  <c r="B34" i="13"/>
  <c r="B35" i="13"/>
  <c r="B36" i="13"/>
  <c r="B37" i="13"/>
  <c r="B38" i="13"/>
  <c r="B39" i="13"/>
  <c r="B40" i="13"/>
  <c r="B41" i="13"/>
  <c r="B42" i="13"/>
  <c r="B43" i="13"/>
  <c r="B44" i="13"/>
  <c r="B45" i="13"/>
  <c r="B2" i="13"/>
  <c r="M244" i="6"/>
  <c r="M245" i="6"/>
  <c r="M246" i="6"/>
  <c r="M247" i="6"/>
  <c r="M248" i="6"/>
  <c r="M249" i="6"/>
  <c r="M250" i="6"/>
  <c r="M243" i="6"/>
  <c r="N243" i="6"/>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2" i="5"/>
  <c r="N3" i="6"/>
  <c r="N4" i="6"/>
  <c r="N5" i="6"/>
  <c r="N6" i="6"/>
  <c r="N7" i="6"/>
  <c r="N8" i="6"/>
  <c r="N9" i="6"/>
  <c r="N10" i="6"/>
  <c r="N11" i="6"/>
  <c r="N12" i="6"/>
  <c r="N13" i="6"/>
  <c r="N14" i="6"/>
  <c r="N15" i="6"/>
  <c r="N16" i="6"/>
  <c r="N17" i="6"/>
  <c r="N18" i="6"/>
  <c r="N19" i="6"/>
  <c r="N20" i="6"/>
  <c r="N21" i="6"/>
  <c r="N22" i="6"/>
  <c r="N23" i="6"/>
  <c r="N24" i="6"/>
  <c r="N25" i="6"/>
  <c r="N26" i="6"/>
  <c r="N27" i="6"/>
  <c r="N28" i="6"/>
  <c r="N29" i="6"/>
  <c r="N30" i="6"/>
  <c r="N31" i="6"/>
  <c r="N32" i="6"/>
  <c r="N33" i="6"/>
  <c r="N34" i="6"/>
  <c r="N35" i="6"/>
  <c r="N36" i="6"/>
  <c r="N37" i="6"/>
  <c r="N38" i="6"/>
  <c r="N39" i="6"/>
  <c r="N40" i="6"/>
  <c r="N41" i="6"/>
  <c r="N42" i="6"/>
  <c r="N43" i="6"/>
  <c r="N44" i="6"/>
  <c r="N45" i="6"/>
  <c r="N46" i="6"/>
  <c r="N47" i="6"/>
  <c r="N48" i="6"/>
  <c r="N49" i="6"/>
  <c r="N50" i="6"/>
  <c r="N51" i="6"/>
  <c r="N52" i="6"/>
  <c r="N53" i="6"/>
  <c r="N54" i="6"/>
  <c r="N55" i="6"/>
  <c r="N56" i="6"/>
  <c r="N57" i="6"/>
  <c r="N58" i="6"/>
  <c r="N59" i="6"/>
  <c r="N60" i="6"/>
  <c r="N61" i="6"/>
  <c r="N62" i="6"/>
  <c r="N63" i="6"/>
  <c r="N64" i="6"/>
  <c r="N65" i="6"/>
  <c r="N66" i="6"/>
  <c r="N67" i="6"/>
  <c r="N68" i="6"/>
  <c r="N69" i="6"/>
  <c r="N70" i="6"/>
  <c r="N71" i="6"/>
  <c r="N72" i="6"/>
  <c r="N73" i="6"/>
  <c r="N74" i="6"/>
  <c r="N75" i="6"/>
  <c r="N76" i="6"/>
  <c r="N77" i="6"/>
  <c r="N78" i="6"/>
  <c r="N79" i="6"/>
  <c r="N80" i="6"/>
  <c r="N81" i="6"/>
  <c r="N82" i="6"/>
  <c r="N83" i="6"/>
  <c r="N84" i="6"/>
  <c r="N85" i="6"/>
  <c r="N86" i="6"/>
  <c r="N87" i="6"/>
  <c r="N88" i="6"/>
  <c r="N89" i="6"/>
  <c r="N90" i="6"/>
  <c r="N91" i="6"/>
  <c r="N92" i="6"/>
  <c r="N93" i="6"/>
  <c r="N94" i="6"/>
  <c r="N95" i="6"/>
  <c r="N96" i="6"/>
  <c r="N97" i="6"/>
  <c r="N98" i="6"/>
  <c r="N99" i="6"/>
  <c r="N100" i="6"/>
  <c r="N101" i="6"/>
  <c r="N102" i="6"/>
  <c r="N103" i="6"/>
  <c r="N104" i="6"/>
  <c r="N105" i="6"/>
  <c r="N106" i="6"/>
  <c r="N107" i="6"/>
  <c r="N108" i="6"/>
  <c r="N109" i="6"/>
  <c r="N110" i="6"/>
  <c r="N111" i="6"/>
  <c r="N112" i="6"/>
  <c r="N113" i="6"/>
  <c r="N114" i="6"/>
  <c r="N115" i="6"/>
  <c r="N116" i="6"/>
  <c r="N117" i="6"/>
  <c r="N118" i="6"/>
  <c r="N119" i="6"/>
  <c r="N120" i="6"/>
  <c r="N121" i="6"/>
  <c r="N122" i="6"/>
  <c r="N123" i="6"/>
  <c r="N124" i="6"/>
  <c r="N125" i="6"/>
  <c r="N126" i="6"/>
  <c r="N127" i="6"/>
  <c r="N128" i="6"/>
  <c r="N129" i="6"/>
  <c r="N130" i="6"/>
  <c r="N131" i="6"/>
  <c r="N132" i="6"/>
  <c r="N133" i="6"/>
  <c r="N134" i="6"/>
  <c r="N135" i="6"/>
  <c r="N136" i="6"/>
  <c r="N137" i="6"/>
  <c r="N138" i="6"/>
  <c r="N139" i="6"/>
  <c r="N140" i="6"/>
  <c r="N141" i="6"/>
  <c r="N142" i="6"/>
  <c r="N143" i="6"/>
  <c r="N144" i="6"/>
  <c r="N145" i="6"/>
  <c r="N146" i="6"/>
  <c r="N147" i="6"/>
  <c r="N148" i="6"/>
  <c r="N149" i="6"/>
  <c r="N150" i="6"/>
  <c r="N151" i="6"/>
  <c r="N152" i="6"/>
  <c r="N153" i="6"/>
  <c r="N154" i="6"/>
  <c r="N155" i="6"/>
  <c r="N156" i="6"/>
  <c r="N157" i="6"/>
  <c r="N158" i="6"/>
  <c r="N159" i="6"/>
  <c r="N160" i="6"/>
  <c r="N161" i="6"/>
  <c r="N162" i="6"/>
  <c r="N163" i="6"/>
  <c r="N164" i="6"/>
  <c r="N165" i="6"/>
  <c r="N166" i="6"/>
  <c r="N167" i="6"/>
  <c r="N168" i="6"/>
  <c r="N169" i="6"/>
  <c r="N170" i="6"/>
  <c r="N171" i="6"/>
  <c r="N172" i="6"/>
  <c r="N173" i="6"/>
  <c r="N174" i="6"/>
  <c r="N175" i="6"/>
  <c r="N176" i="6"/>
  <c r="N177" i="6"/>
  <c r="N178" i="6"/>
  <c r="N179" i="6"/>
  <c r="N180" i="6"/>
  <c r="N181" i="6"/>
  <c r="N182" i="6"/>
  <c r="N183" i="6"/>
  <c r="N184" i="6"/>
  <c r="N185" i="6"/>
  <c r="N186" i="6"/>
  <c r="N187" i="6"/>
  <c r="N188" i="6"/>
  <c r="N189" i="6"/>
  <c r="N190" i="6"/>
  <c r="N191" i="6"/>
  <c r="N192" i="6"/>
  <c r="N193" i="6"/>
  <c r="N194" i="6"/>
  <c r="N195" i="6"/>
  <c r="N196" i="6"/>
  <c r="N197" i="6"/>
  <c r="N198" i="6"/>
  <c r="N199" i="6"/>
  <c r="N200" i="6"/>
  <c r="N201" i="6"/>
  <c r="N202" i="6"/>
  <c r="N203" i="6"/>
  <c r="N204" i="6"/>
  <c r="N205" i="6"/>
  <c r="N206" i="6"/>
  <c r="N207" i="6"/>
  <c r="N208" i="6"/>
  <c r="N209" i="6"/>
  <c r="N210" i="6"/>
  <c r="N211" i="6"/>
  <c r="N212" i="6"/>
  <c r="N213" i="6"/>
  <c r="N214" i="6"/>
  <c r="N215" i="6"/>
  <c r="N216" i="6"/>
  <c r="N217" i="6"/>
  <c r="N218" i="6"/>
  <c r="N219" i="6"/>
  <c r="N220" i="6"/>
  <c r="N221" i="6"/>
  <c r="N222" i="6"/>
  <c r="N223" i="6"/>
  <c r="N224" i="6"/>
  <c r="N225" i="6"/>
  <c r="N226" i="6"/>
  <c r="N227" i="6"/>
  <c r="N228" i="6"/>
  <c r="N229" i="6"/>
  <c r="N230" i="6"/>
  <c r="N231" i="6"/>
  <c r="N232" i="6"/>
  <c r="N233" i="6"/>
  <c r="N234" i="6"/>
  <c r="N235" i="6"/>
  <c r="N236" i="6"/>
  <c r="N237" i="6"/>
  <c r="N238" i="6"/>
  <c r="N239" i="6"/>
  <c r="N240" i="6"/>
  <c r="N241" i="6"/>
  <c r="N242" i="6"/>
  <c r="N244" i="6"/>
  <c r="N245" i="6"/>
  <c r="N246" i="6"/>
  <c r="N247" i="6"/>
  <c r="N248" i="6"/>
  <c r="N249" i="6"/>
  <c r="N250" i="6"/>
  <c r="N2" i="6"/>
  <c r="E44" i="5" l="1"/>
</calcChain>
</file>

<file path=xl/sharedStrings.xml><?xml version="1.0" encoding="utf-8"?>
<sst xmlns="http://schemas.openxmlformats.org/spreadsheetml/2006/main" count="4763" uniqueCount="2012">
  <si>
    <t>INI</t>
  </si>
  <si>
    <t>Iniciativa</t>
  </si>
  <si>
    <t>Descripción</t>
  </si>
  <si>
    <t>Objetivos generales</t>
  </si>
  <si>
    <t>Orden de magnitud USD</t>
  </si>
  <si>
    <t>PILAR</t>
  </si>
  <si>
    <t>Tipo de cliente (flujo)</t>
  </si>
  <si>
    <t>Ámbito funcional/negocio/gobierno (conceptos) que priorizan el esfuerzo, luego lo técnico se alinea a esto</t>
  </si>
  <si>
    <t>Beneficios</t>
  </si>
  <si>
    <t xml:space="preserve">Detalle actividades </t>
  </si>
  <si>
    <t>Entregables</t>
  </si>
  <si>
    <t>Prerrequisitos INI / ALT</t>
  </si>
  <si>
    <t>Otros Prerrequisitos (no iniciativas)</t>
  </si>
  <si>
    <t>Prerrequisitos ACTUALIZADOS (ANTIGUO)</t>
  </si>
  <si>
    <t>Prerrequisitos y dependencia entre iniciativas (ANTIGUO)</t>
  </si>
  <si>
    <t>Plan de trabajo</t>
  </si>
  <si>
    <t>Responsables</t>
  </si>
  <si>
    <t>Categoría</t>
  </si>
  <si>
    <t>Etapa del flujo</t>
  </si>
  <si>
    <t>Dominio</t>
  </si>
  <si>
    <t>estado PWC</t>
  </si>
  <si>
    <t>Etapa TO-BE (Imagen)</t>
  </si>
  <si>
    <t>Etapa Simplificada</t>
  </si>
  <si>
    <t>Justificación Mapeo</t>
  </si>
  <si>
    <t>Pilar Aplicativo Principal</t>
  </si>
  <si>
    <t>Pilar Aplicativo Secundario</t>
  </si>
  <si>
    <t>Grupo Tecnológico</t>
  </si>
  <si>
    <t>Capa de Arquitectura</t>
  </si>
  <si>
    <t>Plataforma / Infra</t>
  </si>
  <si>
    <t>Componentes Impactados</t>
  </si>
  <si>
    <t>Servicios EAI</t>
  </si>
  <si>
    <t>Notas Revisión Duplicidad</t>
  </si>
  <si>
    <t>Estado Revisión</t>
  </si>
  <si>
    <t>INI-01</t>
  </si>
  <si>
    <t>Pre-evaluación FICO para Cliente Sin Oferta en Campaña</t>
  </si>
  <si>
    <t>Nodo diferenciado de pre-evaluación con FICO para clientes sin oferta en campaña. Si FICO rechaza → Fin inmediato (ahorra recursos). Si aprueba → pasa a "Nuevo servicio" + Simulación.</t>
  </si>
  <si>
    <t>Implementar nodo diferenciado de pre-evaluación que filtre tempranamente clientes sin oferta → ahorra ~30-40% de evaluaciones innecesarias</t>
  </si>
  <si>
    <t>Funcional/Negocio</t>
  </si>
  <si>
    <t>Cliente sin oferta aprobada</t>
  </si>
  <si>
    <t>B1: Ahorro de recursos (menos llamadas a servicios/motores posteriores y menos procesamiento) al cortar tempranamente los rechazados por FICO.
B2: Mejor control de riesgo al aplicar un filtro estándar y consistente antes de ofertar dinámicamente.
B3: Mejora la eficiencia del flujo al separar clientes “viables” vs “no viables” desde el inicio.
B4: Mejor experiencia para no elegibles (respuesta rápida) y para elegibles (pasan a oferta + simulación sin pasos innecesarios).
B5: Trazabilidad de decisiones (motivos FICO y derivación a siguiente etapa) para monitoreo y auditoría.</t>
  </si>
  <si>
    <t>A1: Definir el segmento “cliente sin oferta” y condiciones de entrada al nodo (qué casos aplican y cuáles no).
A2: Definir reglas de decisión FICO (umbral(es), códigos de rechazo, vigencia, tratamiento de “sin score / error / data insuficiente”).
A3: Diseñar el flujo de orquestación: FICO → (rechazo y fin) / (aprobación y derivación a INI-02 + simulación).
A4: Implementar integración técnica con FICO (API, seguridad, timeouts, retries) + manejo de contingencias/fallback.
A5: Implementar mensajería y motivos para canal (rechazo inmediato vs continúa) y registrar auditoría/logs.
A6: Ejecutar pruebas y piloto (funcionales, performance, caída de servicios) y calibrar umbrales si corresponde.</t>
  </si>
  <si>
    <t>E1: Documento de alcance y requerimientos del nodo de pre-evaluación (incluye criterios “sin oferta”).
E2: Diseño del flujo (diagrama del nodo FICO + derivación a INI-02 + simulación).
E3: Política/parametría FICO: umbrales, tratamiento de excepciones (“no hit”, error, data incompleta) y motivos.
E4: Catálogo de motivos/códigos para fin inmediato y para derivación (mensajes por canal).
E5: Especificación de integración/API con FICO (contratos, seguridad, timeouts, reintentos).
E6: Implementación del nodo en el orquestador/flujo (configuración por ambiente + feature flags si aplica).
E7: Plan y evidencias de pruebas (unitarias, integración, E2E con INI-02, performance/contingencia) + UAT firmado.
E8: Monitoreo/KPIs (tasa de rechazo FICO, latencia, errores, derivación a INI-02, ahorro estimado de llamadas) + alertas.
E9: Informe de piloto/despliegue con resultados y ajustes recomendados.</t>
  </si>
  <si>
    <t>INI-02, INI-04, INI-05, INI-07, INI-09, INI-12, INI-18, INI-20</t>
  </si>
  <si>
    <t>accesos/conectividad a ambientes FICO, definición de umbrales/reglas y manejo de excepciones por Riesgo (no-hit/error/data insuficiente) y trazabilidad/auditoría</t>
  </si>
  <si>
    <t>Requiere accesos/conectividad a ambientes FICO, definición de umbrales/reglas y manejo de excepciones por Riesgo (no-hit/error/data insuficiente) y trazabilidad/auditoría; depende de INI-12 y se integra con INI-05 (ruteo “Sin oferta”), INI-02 (si aprueba pasa a oferta dinámica), INI-07 (persistencia/retoma), INI-04 (doc antes de curse) y medición INI-09/INI-09 (ex INI-10).
🔗 DEPENDENCIAS CRUZADAS (Func↔Téc): INI-18 (FICO v7 estable para pre-evaluación); INI-29 (Gobierno E2E técnico); INI-20 (Precálculo oferta viable).</t>
  </si>
  <si>
    <t>Requiere accesos/conectividad a ambientes FICO, definición de umbrales/reglas y manejo de excepciones por Riesgo (no-hit/error/data insuficiente) y trazabilidad/auditoría; depende de INI-12 y se integra con INI-05 (ruteo “Sin oferta”), INI-02 (si aprueba pasa a oferta dinámica), INI-07 (persistencia/retoma), INI-04 (doc antes de curse) y medición INI-09/INI-09 (ex INI-10).</t>
  </si>
  <si>
    <t>PENDIENTE EN CASO DE PRIORIZACIÓN</t>
  </si>
  <si>
    <t>Ger. Riesgo, Ger. Comercial/Producto, Proveedor FICO/Ventiv, TI Integración/Arquitectura, Sonda (infra/OCI-OKE), Canales (TAPP/SVP), Operaciones</t>
  </si>
  <si>
    <t>Funcional</t>
  </si>
  <si>
    <t>Generación de Oferta</t>
  </si>
  <si>
    <t>🔴 Riesgo</t>
  </si>
  <si>
    <t>Pre-evaluación FICO para cliente sin oferta → nodo antes de simulación</t>
  </si>
  <si>
    <t>Motor FICO (DMPS/Blaze)</t>
  </si>
  <si>
    <t>Base Aprobados, MenuAndes</t>
  </si>
  <si>
    <t>Motor de Decisión</t>
  </si>
  <si>
    <t>Lógica de Negocio</t>
  </si>
  <si>
    <t>OCI Santiago → OCI/OKE</t>
  </si>
  <si>
    <t>FICO DMPS, Blaze v4/v7, Orquestador Gateway</t>
  </si>
  <si>
    <t>—</t>
  </si>
  <si>
    <t>Sin cambios</t>
  </si>
  <si>
    <t>INI-02</t>
  </si>
  <si>
    <t xml:space="preserve">Nuevo Servicio de Generación de Oferta Dinámica - </t>
  </si>
  <si>
    <t>Servicio post pre-evaluación que genera oferta dinámica para clientes sin oferta pre-aprobada. Hoy estos clientes van directo al motor o son rechazados.</t>
  </si>
  <si>
    <t>Diseñar, construir e implementar un servicio post pre-evaluación que genere una oferta dinámica para clientes que no cuentan con oferta pre-aprobada, de modo que en lugar de enviarlos directamente al motor o rechazarlos, se les presente una alternativa de oferta (monto/plazo/tasa/condiciones) acorde a su perfil de riesgo y políticas vigentes, mejorando conversión sin deteriorar el riesgo.</t>
  </si>
  <si>
    <t>B1: Aumenta la conversión/originación al capturar clientes que hoy quedan sin oferta o rechazados.
B2: Mejora la experiencia del cliente al entregar alternativas en vez de un rechazo inmediato.
B3: Permite gestionar apetito de riesgo con parámetros (límites, pricing, reglas) ajustables.
B4: Reduce derivaciones y fricción operativa (menos re-trabajo y reintentos).
B5: Entrega trazabilidad y control (motivos, auditoría, versionado de reglas) para riesgo y compliance.</t>
  </si>
  <si>
    <t>A1: Levantar flujo actual y definir casos de uso para clientes sin pre-aprobación (ofertar / pedir datos / no ofertar).
A2: Definir políticas y reglas de elegibilidad + parámetros de oferta (monto/plazo/tasa/condiciones) y “motivos de no oferta”.
A3: Diseñar el modelo de generación de oferta (segmentación por riesgo/score, matriz de oferta, 1 vs N ofertas).
A4: Diseñar e implementar el servicio/API e integraciones (pre-evaluación, datos internos/externos, pricing, motor si aplica) + auditoría.
A5: Ejecutar pruebas y calibración (funcionales, integración, performance) con histórico/simulación y ajustes de parámetros.
A6: Implementar piloto y despliegue gradual por canal/segmento, con monitoreo de KPIs y mejora continua.</t>
  </si>
  <si>
    <t>E1: Documento de requerimientos y alcance (funcional / no funcional).
E2: Diseño de proceso/journey objetivo (sin pre-aprobación → oferta dinámica → siguiente paso).
E3: Reglas de elegibilidad + matriz/estrategia de oferta (parámetros por segmento/score) y versionado.
E4: Catálogo de motivos/códigos (no oferta, rechazo, derivación) y mensajes para canal.
E5: Especificación de API (OpenAPI) + arquitectura e integraciones + lineamientos de auditoría/logging.
E6: Implementación del servicio (código + configuración por ambiente / feature flags).
E7: Plan y evidencias de pruebas (unitarias, integración, E2E, performance) + UAT firmado.
E8: Tablero de monitoreo (conversión, % con oferta, aceptación, latencia/errores, mora temprana si aplica) + alertas.
E9: Informe de piloto/despliegue con resultados, ajustes y recomendación de escalamiento.</t>
  </si>
  <si>
    <t>INI-01, INI-04, INI-07, INI-09, INI-11, INI-12, INI-18, INI-20</t>
  </si>
  <si>
    <t>definición de política/matriz de oferta dinámica (monto/plazo/tasa/condiciones), fuentes de datos y catálogo de motivos/auditoría; y normalmente de , se apalanca opcionalmente en , y se integra con ,  y medición</t>
  </si>
  <si>
    <t>Requiere definición de política/matriz de oferta dinámica (monto/plazo/tasa/condiciones), fuentes de datos y catálogo de motivos/auditoría; depende de INI-12 y normalmente de INI-01 (gate pre-FICO en “Sin oferta”), se apalanca opcionalmente en INI-11 (parametrización de reglas), y se integra con INI-07, INI-04 y medición INI-09/INI-09 (ex INI-10).
🔗 DEPENDENCIAS CRUZADAS (Func↔Téc): INI-18 (FICO v7 para evaluación); INI-20 (Precálculo como base de oferta).</t>
  </si>
  <si>
    <t>Requiere definición de política/matriz de oferta dinámica (monto/plazo/tasa/condiciones), fuentes de datos y catálogo de motivos/auditoría; depende de INI-12 y normalmente de INI-01 (gate pre-FICO en “Sin oferta”), se apalanca opcionalmente en INI-11 (parametrización de reglas), y se integra con INI-07, INI-04 y medición INI-09/INI-09 (ex INI-10).</t>
  </si>
  <si>
    <t>Ger. Comercial/Producto, Ger. Riesgo (políticas/umbrales), TI Arquitectura/Integración, Proveedor FICO/Ventiv (si participa en decisión/scoring), Canales (TAPP/SVP/Sucursal), Data/BI (seguimiento)</t>
  </si>
  <si>
    <r>
      <t>🟢 Producto</t>
    </r>
    <r>
      <rPr>
        <b/>
        <sz val="8"/>
        <color rgb="FFC0392B"/>
        <rFont val="Segoe UI"/>
        <family val="2"/>
      </rPr>
      <t>🔴 Riesgo</t>
    </r>
  </si>
  <si>
    <t>Oferta dinámica post pre-evaluación → genera oferta viable</t>
  </si>
  <si>
    <t>FlexCube, MenuAndes</t>
  </si>
  <si>
    <t>GCP (nuevo servicio)</t>
  </si>
  <si>
    <t>Nuevo Servicio Oferta Dinámica, FICO, FlexCube</t>
  </si>
  <si>
    <t>INI-03</t>
  </si>
  <si>
    <t>Flujo aprobado express</t>
  </si>
  <si>
    <t>Camino directo para "Aprobados Express": Paquete oferta → Simulación → (sin evaluación FICO) → Documentación → Curse. Bypass del motor para clientes de buen comportamiento. (2 OPCIONES)</t>
  </si>
  <si>
    <t xml:space="preserve">Implementar un camino “Fast Track Express” que permita a clientes identificados como Aprobados Express (por buen comportamiento y criterios definidos) avanzar desde paquete de oferta → simulación → documentación → curse, sin pasar por la evaluación FICO / motor tradicional, manteniendo controles mínimos de riesgo, fraude y cumplimiento para reducir tiempos y fricción sin deteriorar calidad de cartera.
</t>
  </si>
  <si>
    <t>Cliente oferta aprobada express</t>
  </si>
  <si>
    <t>B1: Aumenta la conversión al reducir pasos y fricción del proceso estándar.
B2: Disminuye el time-to-yes / time-to-cash (aprobación y desembolso más rápidos).
B3: Reduce costo operativo (menos validaciones redundantes, menos re-trabajo).
B4: Mejora la experiencia y fidelización de clientes de buen comportamiento.
B5: Mantiene control y trazabilidad (reglas claras, auditoría, límites y derivación a flujo estándar cuando aplique).</t>
  </si>
  <si>
    <t>A1: Definir criterios “Aprobado Express” (elegibilidad, exclusiones, vigencia, límites por monto/plazo).
A2: Diseñar el flujo Fast Track y puntos de decisión (Express vs derivación a flujo estándar).
A3: Acordar e implementar controles mínimos (KYC/AML, identidad, antifraude, políticas internas) para permitir el bypass.
A4: Definir e implementar paquete de oferta + simulación (condiciones, vigencia, validaciones de límites).
A5: Implementar servicios/APIs e integraciones (canales, data comportamiento, KYC/AML, documental, curse) + manejo de errores/fallback.
A6: Ejecutar pruebas y piloto (UAT, performance, seguridad), monitoreo de KPIs y calibración de reglas.</t>
  </si>
  <si>
    <t>E1: Documento de política Express: criterios, exclusiones, vigencia, límites y gobierno de cambios.
E2: Diseño del proceso Fast Track (diagrama de flujo + derivación a estándar + mensajes/motivos).
E3: Matriz de controles mínimos (riesgo/fraude/compliance) + “stop conditions”.
E4: Definición del paquete de oferta y reglas de simulación (parámetros, vigencia, restricciones).
E5: Especificación técnica/API (OpenAPI) + arquitectura e integraciones.
E6: Implementación (servicios, configuración de reglas, feature flags).
E7: Plan y evidencias de pruebas (unitarias, integración, E2E, performance, seguridad) + UAT firmado.
E8: Tablero de monitoreo (KPIs operativos y de riesgo) + alertas.
E9: Informe de piloto y versión final calibrada (recomendaciones y parámetros finales).</t>
  </si>
  <si>
    <t>INI-04, INI-05, INI-07, INI-09, INI-11, INI-12, INI-34</t>
  </si>
  <si>
    <t>criterios “Aprobado Express”, límites/exclusiones y controles mínimos KYC/AML/antifraude definidos por Riesgo/Compliance y trazabilidad; y de , se integra con  y , se mide con  y puede apalancarse en  para parametría</t>
  </si>
  <si>
    <t>Requiere criterios “Aprobado Express”, límites/exclusiones y controles mínimos KYC/AML/antifraude definidos por Riesgo/Compliance y trazabilidad; depende de INI-12 y de INI-05 (clasificación Express), se integra con INI-04 (doc) y INI-07 (retoma), se mide con INI-09/INI-09 (ex INI-10) y puede apalancarse en INI-11 para parametría.
🔗 DEPENDENCIAS CRUZADAS (Func↔Téc): INI-34 (BD Corporativa para datos de cliente express); INI-29 (Gobierno E2E).</t>
  </si>
  <si>
    <t>Requiere criterios “Aprobado Express”, límites/exclusiones y controles mínimos KYC/AML/antifraude definidos por Riesgo/Compliance y trazabilidad; depende de INI-12 y de INI-05 (clasificación Express), se integra con INI-04 (doc) y INI-07 (retoma), se mide con INI-09/INI-09 (ex INI-10) y puede apalancarse en INI-11 para parametría.</t>
  </si>
  <si>
    <t>Ger. Riesgo, Ger. Comercial/Producto, Canales Digitales (TAPP/SVP), TI Arquitectura/Integración, Proveedor FICO/Ventiv (para definir bypass/control mínimo), Compliance/Seguridad</t>
  </si>
  <si>
    <t>Simulación → Curse</t>
  </si>
  <si>
    <r>
      <t>🔴 Riesgo</t>
    </r>
    <r>
      <rPr>
        <b/>
        <sz val="8"/>
        <color rgb="FFD68910"/>
        <rFont val="Segoe UI"/>
        <family val="2"/>
      </rPr>
      <t>🟡 Canal</t>
    </r>
  </si>
  <si>
    <t>Evaluación → Documentación (Bypass)</t>
  </si>
  <si>
    <t>Evaluación (Bypass → Documentación)</t>
  </si>
  <si>
    <t>Fast Track: Express salta Evaluación FICO, va directo Simulación → Documentación</t>
  </si>
  <si>
    <t>Siebel, TAPP, Base Aprobados</t>
  </si>
  <si>
    <t>Lógica de Negocio + Canal</t>
  </si>
  <si>
    <t>OCI + GCP</t>
  </si>
  <si>
    <t>Blaze Advisor (bypass rules), Siebel, TAPP BFF</t>
  </si>
  <si>
    <t>INI-04</t>
  </si>
  <si>
    <t xml:space="preserve">Orquestación Documentación Digital - </t>
  </si>
  <si>
    <t>Etapa explícita de "Generación, firma y Control doc." previa al curse. Hoy la documentación y firma están fuera del proceso de onboarding — el flujo la integra.</t>
  </si>
  <si>
    <t>Implementar e integrar en el onboarding una etapa explícita y orquestada de “Generación, firma y control documental” previa al curse, incorporando la documentación y firma digital dentro del flujo end-to-end para asegurar completitud, trazabilidad y cumplimiento, reduciendo fricción operativa y reprocesos.</t>
  </si>
  <si>
    <t>Transversal (Express + Normal + Sin oferta)</t>
  </si>
  <si>
    <t>B1: Asegura cumplimiento y control: documentos correctos, firmados y validados antes del curse.
B2: Reduce reprocesos y errores (documentación incompleta/faltante) al estandarizar la etapa.
B3: Mejora tiempos de cierre/curse al automatizar generación, firma y verificación.
B4: Entrega trazabilidad/auditoría end-to-end (qué se generó, quién firmó, cuándo, estado y evidencias).
B5: Habilita una experiencia digital y omnicanal consistente (mismo flujo para web/app/sucursal/call center, según aplique).</t>
  </si>
  <si>
    <t>A1: Levantar el proceso actual y definir el alcance documental por producto/canal (qué documentos, cuándo aplican).
A2: Definir la orquestación de estados: generar → enviar → firmar → validar → almacenar → habilitar curse (y qué pasa si falla).
A3: Diseñar plantillas y parametría (variables, versiones, idioma, condiciones, anexos) y reglas de selección de documentos.
A4: Integrar con servicios de firma digital y gestión documental (repositorio, evidencias, sellado de tiempo si aplica).
A5: Implementar controles: completitud, consistencia de datos, validación de identidad/consentimiento, reintentos y vencimientos.
A6: Pruebas end-to-end + piloto: generación masiva, firma, trazabilidad, contingencias (firma caída / cliente no firma / expiración).</t>
  </si>
  <si>
    <t>E1: Documento de alcance y catálogo documental (por producto/canal/segmento) + reglas de aplicabilidad.
E2: Diseño del flujo de orquestación (estados, transiciones, errores, SLAs, reintentos, vencimientos).
E3: Modelo de datos documental (metadatos, versionado, evidencias, auditoría).
E4: Plantillas de documentos parametrizadas + matriz de selección (qué se genera en cada caso).
E5: Especificación de integraciones/APIs (firma digital, repositorio documental, onboarding/orquestador, curse).
E6: Implementación de la etapa documental (servicios, colas/eventos si aplica, configuración por ambiente).
E7: Catálogo de motivos/códigos de estado documental (pendiente firma, rechazado, expirado, validación fallida, etc.).
E8: Plan y evidencias de pruebas (funcionales, seguridad, performance, contingencias) + UAT firmado.
E9: Tablero de monitoreo/KPIs (tasa de firma, tiempos por etapa, caídas, reprocesos, % curse habilitado) + alertas.</t>
  </si>
  <si>
    <t>INI-12, INI-21, INI-24</t>
  </si>
  <si>
    <t>set documental por producto/canal, proveedor de firma digital, repositorio documental/evidencias y aprobaciones Legal/Compliance; y es transversal como paso previo a curse para rutas que cursan (Express/Normal/Sin oferta)</t>
  </si>
  <si>
    <t>Requiere set documental por producto/canal, proveedor de firma digital, repositorio documental/evidencias y aprobaciones Legal/Compliance; depende de INI-12 y es transversal como paso previo a curse para rutas que cursan (Express/Normal/Sin oferta).
🔗 DEPENDENCIAS CRUZADAS (Func↔Téc): INI-24 (Camel orquestador para flujo documentación); INI-21 (MS Lógica Crédito reemplaza Svc 147).</t>
  </si>
  <si>
    <t>Requiere set documental por producto/canal, proveedor de firma digital, repositorio documental/evidencias y aprobaciones Legal/Compliance; depende de INI-12 y es transversal como paso previo a curse para rutas que cursan (Express/Normal/Sin oferta).</t>
  </si>
  <si>
    <t>Operaciones (BackOffice/Admisión), Legal/Compliance, Proveedor Firma Digital/ECM (si existe), TI Integración/Arquitectura, Canales (TAPP/SVP/Sucursal)</t>
  </si>
  <si>
    <t>Documentación</t>
  </si>
  <si>
    <t>🟡 Canal</t>
  </si>
  <si>
    <t>Orquestación de generación, firma y control documental</t>
  </si>
  <si>
    <t>Siebel / Salesforce</t>
  </si>
  <si>
    <t>FlexCube, eSign, BI Publisher</t>
  </si>
  <si>
    <t>CRM + Documental</t>
  </si>
  <si>
    <t>Proceso de Negocio</t>
  </si>
  <si>
    <t>OCI Santiago</t>
  </si>
  <si>
    <t>Siebel CRM, FlexCube, eSign, BI Publisher</t>
  </si>
  <si>
    <t>INI-05</t>
  </si>
  <si>
    <t>Segmentación de Campaña No Cliente</t>
  </si>
  <si>
    <t>Punto de decisión inteligente al inicio que clasifica: Express / Normal / Sin oferta / NO OK. Hoy Siebel lo hace parcialmente. En TO-BE debería ser un microservicio.</t>
  </si>
  <si>
    <t>Diseñar e implementar un microservicio de derivación al inicio del onboarding que clasifique inteligentemente a cada cliente en Express / Normal / Sin oferta / NO OK, sustituyendo o complementando la clasificación parcial actual de Siebel, para enrutar al flujo TO-BE correcto con consistencia, trazabilidad y control (incluyendo criterios de elegibilidad y exclusión).</t>
  </si>
  <si>
    <t>Transversal (Express + Normal + Sin oferta + No ok)</t>
  </si>
  <si>
    <t>B1: Reduce fricción y mejora conversión al enrutar correctamente desde el inicio (menos desvíos y re-trabajo).
B2: Aumenta la eficiencia operativa y tecnológica (menos lógica dispersa en canales/Siebel, menor complejidad).
B3: Mejora el control de riesgo/compliance con criterios centralizados (incluye “NO OK” temprano).
B4: Entrega consistencia omnicanal (misma clasificación para web/app/sucursal/call center).
B5: Habilita evolución rápida (reglas parametrizables, versionado, feature flags) sin cambios grandes en canales.
B6: Provee trazabilidad/auditoría (por qué fue Express/Normal/Sin oferta/NO OK, con variables y reglas aplicadas).</t>
  </si>
  <si>
    <t>A1: Definir la taxonomía y criterios de cada tipo: Express / Normal / Sin oferta / NO OK (reglas y exclusiones).
A2: Levantar la lógica actual en Siebel y diseñar el TO-BE (qué se migra, qué se elimina, qué queda temporalmente).
A3: Diseñar el microservicio: API, entradas/salidas, performance, seguridad, idempotencia y manejo de errores.
A4: Definir e integrar fuentes de datos necesarias (CRM/Siebel, comportamiento, KYC/AML, antifraude, ofertas, etc.).
A5: Implementar motor de reglas parametrizable + versionado + auditoría (logs, motivos, rule-id).
A6: Pruebas + piloto: exactitud de clasificación, latencia, contingencias (data faltante/servicios caídos) y calibración.</t>
  </si>
  <si>
    <t>E1: Documento de alcance y criterios de clasificación (reglas por tipo, exclusiones, prioridades).
E2: Diseño TO-BE de enrutamiento (diagrama end-to-end: punto de decisión → flujos INI-01/02/03/04/normal).
E3: Contrato de API del microservicio (OpenAPI) + modelo de datos (request/response).
E4: Matriz de fuentes de datos e integraciones (qué se consulta, para qué, SLA/timeout).
E5: Catálogo de motivos/códigos de clasificación (Express/Normal/Sin oferta/NO OK) y mensajes por canal.
E6: Implementación del microservicio (reglas parametrizables, versionado, feature flags).
E7: Plan y evidencias de pruebas (unitarias, integración, performance, resiliencia) + UAT firmado.
E8: Tablero de monitoreo/KPIs (distribución por tipo, latencia, errores, derivaciones, precisión vs Siebel) + alertas.
E9: Plan de migración desde Siebel (coexistencia, corte, rollback) + reporte de piloto/despliegue.</t>
  </si>
  <si>
    <t>INI-01, INI-02, INI-03, INI-09, INI-11, INI-12, INI-22</t>
  </si>
  <si>
    <t>definición unívoca de tipología Express/Normal/Sin oferta/NO OK, señales de clasificación (incluyendo qué se consulta vía FICO y qué se toma de Siebel en presencial), API con performance y auditoría; se apalanca opcionalmente en , y habilita ruteo hacia  y hacia /; su efectividad se mide con</t>
  </si>
  <si>
    <t>Requiere definición unívoca de tipología Express/Normal/Sin oferta/NO OK, señales de clasificación (incluyendo qué se consulta vía FICO y qué se toma de Siebel en presencial), API con performance y auditoría; depende de INI-12, se apalanca opcionalmente en INI-11, y habilita ruteo hacia INI-03 y hacia INI-01/INI-02; su efectividad se mide con INI-09/INI-09 (ex INI-10).
🔗 DEPENDENCIAS CRUZADAS (Func↔Téc): INI-22 (Apigee para convergencia canales); INI-29 (Gobierno E2E).</t>
  </si>
  <si>
    <t>Requiere definición unívoca de tipología Express/Normal/Sin oferta/NO OK, señales de clasificación (incluyendo qué se consulta vía FICO y qué se toma de Siebel en presencial), API con performance y auditoría; depende de INI-12, se apalanca opcionalmente en INI-11, y habilita ruteo hacia INI-03 y hacia INI-01/INI-02; su efectividad se mide con INI-09/INI-09 (ex INI-10).</t>
  </si>
  <si>
    <t>TI Arquitectura/Integración (owner técnico), Ger. Riesgo (reglas de clasificación), Ger. Comercial/Producto, Canales (TAPP/SVP), Equipo Siebel (Sucursal Presencial), Proveedor FICO/Ventiv (si es fuente de señales)</t>
  </si>
  <si>
    <t>Punto de Entrada</t>
  </si>
  <si>
    <r>
      <t>🟣 Cliente</t>
    </r>
    <r>
      <rPr>
        <b/>
        <sz val="8"/>
        <color rgb="FFC0392B"/>
        <rFont val="Segoe UI"/>
        <family val="2"/>
      </rPr>
      <t>🔴 Riesgo</t>
    </r>
  </si>
  <si>
    <t>Segmentación campaña No Cliente → define tipo de cliente antes del flujo</t>
  </si>
  <si>
    <t>TAPP, Base Aprobados</t>
  </si>
  <si>
    <t>CRM + Canal</t>
  </si>
  <si>
    <t>Siebel (segmentación), TAPP, Base Aprobados</t>
  </si>
  <si>
    <t>INI-06</t>
  </si>
  <si>
    <t>Ajuste del Proceso de Derivación de Canales</t>
  </si>
  <si>
    <t>TAPP opera con modelo binario: aprueba o rechaza. 277.407 solicitudes/mes que en sucursal podrían haberse trabajado se pierden porque el digital no puede derivar a analista.</t>
  </si>
  <si>
    <t>Habilitar en el canal digital un mecanismo de derivación a gestión humana (analista/sucursal/contact center) para solicitudes que hoy quedan en un modelo binario (aprueba/rechaza), permitiendo rescatar oportunidades y trabajar casos “recuperables” mediante un handoff orquestado, con colas, SLA, trazabilidad y retroalimentación al flujo digital.</t>
  </si>
  <si>
    <t>Cliente no ok</t>
  </si>
  <si>
    <t>B1: Recupera solicitudes perdidas en digital al habilitar tratamiento humano (ej. parte de las 277.407 solicitudes/mes).
B2: Incrementa conversión/originación al re-trabajar casos no aprobados automáticamente pero potencialmente viables.
B3: Mejora la experiencia del cliente (no termina en rechazo definitivo; se ofrece alternativa/seguimiento).
B4: Reduce abandono al dar continuidad (“te contactaremos / agenda / derivación a sucursal”).
B5: Aumenta control y trazabilidad (motivos de derivación, tiempos, resultado, auditoría).
B6: Permite optimizar reglas del motor digital con aprendizaje (insights sobre qué casos se recuperan).</t>
  </si>
  <si>
    <t>A1: Definir casos de derivación y criterios (qué se deriva vs qué se rechaza definitivo; motivos y priorización).
A2: Diseñar el modelo operativo: quién atiende (analista/call center/sucursal), colas, SLA, horarios, capacidad y escalamiento.
A3: Diseñar el handoff digital: captura mínima de datos, consentimiento, agendamiento/contactabilidad, estado visible al cliente.
A4: Implementar la gestión de casos (creación de caso/ticket/lead en CRM o herramienta), asignación y trazabilidad end-to-end.
A5: Integrar notificaciones y estados: actualizaciones al canal digital (en revisión, solicitado documento, aprobado, rechazado).
A6: Piloto y calibración: medir recuperación, tiempos y causas; ajustar reglas de derivación y dotación.</t>
  </si>
  <si>
    <t>E1: Documento de alcance y reglas de derivación (criterios, exclusiones, motivos/códigos, priorización).
E2: Diseño del proceso operativo (colas, SLA, roles, RACI, capacidad, escalamiento).
E3: Journey/UX del cliente en digital para derivación (mensajes, consentimiento, agendamiento, tracking de estado).
E4: Modelo de caso y datos mínimos (campos, adjuntos, estados, trazabilidad, auditoría).
E5: Especificación de integraciones/APIs (digital ↔ CRM/case management ↔ notificaciones ↔ repositorios si aplica).
E6: Implementación de creación/asignación de casos + bandeja/cola para analistas (o configuración si es herramienta existente).
E7: Catálogo de estados y motivos (derivado, pendiente contacto, requiere docs, aprobado, rechazado) + plantillas de comunicación.
E8: Plan y evidencias de pruebas (E2E, SLA, seguridad/PII, contingencias) + UAT firmado.
E9: Tablero de KPIs (tasa de derivación, tasa de recuperación, TAT, contactabilidad, conversión, causas) + reporte de piloto.</t>
  </si>
  <si>
    <t>INI-07, INI-09, INI-12, INI-13, INI-22, INI-27</t>
  </si>
  <si>
    <t>modelo operativo de atención humana (roles, colas, SLA, capacidad), herramienta de casos (posiblemente Siebel u otra) y consentimientos/contactabilidad; se apalanca en , se mide con  (reconversión) y funciona como fallback junto con</t>
  </si>
  <si>
    <t>Requiere modelo operativo de atención humana (roles, colas, SLA, capacidad), herramienta de casos (posiblemente Siebel u otra) y consentimientos/contactabilidad; depende de INI-12, se apalanca en INI-07 (handoff con contexto/retoma), se mide con INI-09 (ex INI-10) (reconversión) y funciona como fallback junto con INI-13.
🔗 DEPENDENCIAS CRUZADAS (Func↔Téc): INI-22 (Apigee para derivación entre canales); INI-27 (Observabilidad para medir reconversión).</t>
  </si>
  <si>
    <t>Requiere modelo operativo de atención humana (roles, colas, SLA, capacidad), herramienta de casos (posiblemente Siebel u otra) y consentimientos/contactabilidad; depende de INI-12, se apalanca en INI-07 (handoff con contexto/retoma), se mide con INI-09 (ex INI-10) (reconversión) y funciona como fallback junto con INI-13.</t>
  </si>
  <si>
    <t>Operaciones/Admisión (dueño del proceso y SLAs), Canales Digitales (TAPP/SVP), Ger. Sucursal Presencial (si recibe derivaciones), Equipo Siebel/CRM, Ger. Comercial, Data/BI (medición de recuperación)</t>
  </si>
  <si>
    <t>FG-19</t>
  </si>
  <si>
    <r>
      <t>🟡 Canal</t>
    </r>
    <r>
      <rPr>
        <b/>
        <sz val="8"/>
        <color rgb="FFE67E22"/>
        <rFont val="Segoe UI"/>
        <family val="2"/>
      </rPr>
      <t>📊 Negocio</t>
    </r>
  </si>
  <si>
    <t>Evaluación → Simulación (Derivación)</t>
  </si>
  <si>
    <t>Simulación + Evaluación</t>
  </si>
  <si>
    <t>FG-19: Derivación a atención humana cuando TAPP rechaza. Aplica en decisión post-evaluación</t>
  </si>
  <si>
    <t>TAPP (Canal Digital)</t>
  </si>
  <si>
    <t>Siebel, BFF, Kafka</t>
  </si>
  <si>
    <t>Canal Digital</t>
  </si>
  <si>
    <t>Canal + Proceso</t>
  </si>
  <si>
    <t>GCP (GKE)</t>
  </si>
  <si>
    <t>TAPP, BFF, Kafka, Siebel (derivación)</t>
  </si>
  <si>
    <t>INI-07</t>
  </si>
  <si>
    <t xml:space="preserve">Retomabilidad Omnicanal (Persistencia de Estado) - </t>
  </si>
  <si>
    <t>Un cliente que inicia en digital y no completa, hoy reinicia desde cero en sucursal. El flujo requiere que el estado se persista entre Simulación y Evaluación para retomar en otro canal.
[PASO 1 — Base Técnica Compartida] Esta iniciativa construye la capa de persistencia de estado que es PRERREQUISITO para INI-15 (Session Recovery ante caída) e INI-16 (Notificación post-caída). El servicio de persistencia que aquí se desarrolla es reutilizado por ambas iniciativas dependientes.</t>
  </si>
  <si>
    <t>Implementar persistencia de estado y retomabilidad omnicanal para que un cliente que inicia el onboarding en un canal (p. ej. digital) y no completa, pueda retomar el proceso en otro canal (p. ej. sucursal) sin reiniciar desde cero, persistiendo especialmente el estado y datos clave entre Simulación y Evaluación (y, idealmente, hasta Documentación), con trazabilidad, vigencia y controles de seguridad/consentimiento.</t>
  </si>
  <si>
    <t>B1: Incrementa conversión al reducir abandono por tener que reiniciar el flujo en otro canal.
B2: Mejora la experiencia omnicanal (continuidad y consistencia de la solicitud).
B3: Reduce tiempos y fricción en sucursal/call center (menos captura repetida).
B4: Disminuye errores de data por reingreso manual y mejora calidad de información.
B5: Aporta trazabilidad del journey (qué se hizo, dónde se quedó, qué falta).
B6: Habilita analítica de funnel real omnicanal (abandono, retomabilidad, cuellos de botella).</t>
  </si>
  <si>
    <t>A1: Definir el alcance de estado a persistir (datos mínimos, decisiones, oferta simulada, documentos pendientes) y en qué hitos (Simulación/Evaluación/Doc).
A2: Definir identificador de continuidad (ID solicitud) y reglas de vinculación cliente-solicitud (login, OTP, documento, etc.).
A3: Diseñar la arquitectura de persistencia (store de estado, modelo de datos, APIs de lectura/escritura, versionado).
A4: Definir vigencias y caducidades (TTL de simulación/oferta, refresh de datos, re-evaluación si expira).
A5: Integrar canales y backends para guardar/recuperar estado (digital, sucursal, CRM/Siebel, orquestador, motor/FICO si aplica).
A6: Pruebas end-to-end omnicanal + piloto (casos de retoma, expiración, concurrencia, seguridad).</t>
  </si>
  <si>
    <t>E1: Documento de alcance funcional de retomabilidad (hitos, casos de uso, qué se persiste y qué no).
E2: Modelo de datos de estado (campos, estructura, versionado, evidencias y auditoría).
E3: Definición de ID de solicitud y reglas de reconciliación (cómo se “encuentra” la solicitud en otro canal).
E4: Especificación de APIs de persistencia/retoma (crear, actualizar, consultar, reanudar, cerrar/cancelar).
E5: Política de vigencia/expiración (TTL, revalidaciones, cuándo se fuerza nueva evaluación).
E6: Implementación del servicio/store de estado + integraciones con canales y orquestador.
E7: Journey omnicanal (mensajes al cliente y al ejecutivo: “solicitud en curso”, “pendiente”, “expirada”).
E8: Plan y evidencias de pruebas (E2E omnicanal, concurrencia, seguridad/PII, contingencias) + UAT firmado.
E9: Monitoreo/KPIs (tasa de retoma, conversión post-retoma, abandono por etapa, tiempos entre canales) + reporte de piloto.</t>
  </si>
  <si>
    <t>INI-06, INI-09, INI-12, INI-13, INI-15, INI-25, INI-34</t>
  </si>
  <si>
    <t>ID único de solicitud, store de estado seguro (PII), TTL/vigencias y definición de qué se persiste entre Simulación↔Evaluación para TAPP/SVP/Presencial (Siebel); habilita  (reconversión), potencia , se complementa con  y soporta continuidad en</t>
  </si>
  <si>
    <t>Requiere ID único de solicitud, store de estado seguro (PII), TTL/vigencias y definición de qué se persiste entre Simulación↔Evaluación para TAPP/SVP/Presencial (Siebel); depende de INI-12, habilita INI-09 (ex INI-10) (reconversión), potencia INI-06 (derivación con contexto), se complementa con INI-15 (recovery fino) y soporta continuidad en INI-13.
🔗 DEPENDENCIAS CRUZADAS (Func↔Téc): INI-25 (Redis caché para persistir estado); INI-34 (BD Corporativa para datos unificados).</t>
  </si>
  <si>
    <t>Requiere ID único de solicitud, store de estado seguro (PII), TTL/vigencias y definición de qué se persiste entre Simulación↔Evaluación para TAPP/SVP/Presencial (Siebel); depende de INI-12, habilita INI-09 (ex INI-10) (reconversión), potencia INI-06 (derivación con contexto), se complementa con INI-15 (recovery fino) y soporta continuidad en INI-13.</t>
  </si>
  <si>
    <t>TI Arquitectura/Integración (owner), Canales (TAPP/SVP), Ger. Sucursal Presencial + Equipo Siebel, Seguridad/Ciber (PII/controles), Operaciones, Data/BI</t>
  </si>
  <si>
    <t>FG-19 FG-36</t>
  </si>
  <si>
    <r>
      <t>🟡 Canal</t>
    </r>
    <r>
      <rPr>
        <b/>
        <sz val="8"/>
        <color rgb="FF8E44AD"/>
        <rFont val="Segoe UI"/>
        <family val="2"/>
      </rPr>
      <t>🟣 Cliente</t>
    </r>
  </si>
  <si>
    <t>Simulación → Evaluación (Transversal)</t>
  </si>
  <si>
    <t>FG-19/FG-36: Persistencia de estado entre Simulación y Evaluación para retomar en otro canal</t>
  </si>
  <si>
    <t>Siebel, Redis (caché estado)</t>
  </si>
  <si>
    <t>Canal Digital + Integración</t>
  </si>
  <si>
    <t>Canal + Datos</t>
  </si>
  <si>
    <t>GCP + OCI</t>
  </si>
  <si>
    <t>TAPP, Siebel, Redis, MS Estado (nuevo)</t>
  </si>
  <si>
    <t>🟡 PASO 1: Construye la capa base de persistencia de estado. Prerrequisito de INI-15 e INI-16.</t>
  </si>
  <si>
    <t>Paso 1 declarado</t>
  </si>
  <si>
    <t>INI-09</t>
  </si>
  <si>
    <t>Seguimiento y Trazabilidad de Data para Información de Negocio</t>
  </si>
  <si>
    <t>El flujo tiene 5 etapas claras, pero hoy no existen métricas de funnel ni instrumentación para medir abandono, reconversión o conversión por etapa/canal. De 565.297 pre-evaluaciones solo 28.280 se convierten en ventas (5%). No se sabe cuántos clientes abandonan en cada nodo digital ni si retoman en sucursal. Esta iniciativa unifica el seguimiento de data E2E (funnel de conversión + trazabilidad de abandono + reconversión omnicanal) en una sola macro-iniciativa, habilitando la información de negocio necesaria para tomar decisiones basadas en datos.</t>
  </si>
  <si>
    <t>Diseñar e implementar una plataforma de seguimiento y trazabilidad de data end-to-end que: (1) mida la conversión por etapa del flujo (5 etapas) y por canal (TAPP, SVP, Sucursal Presencial); (2) instrumente el abandono en cada nodo del flujo digital y la reconversión/retoma en Sucursal Presencial; (3) identifique el impacto del 'No' en Simulación y Evaluación (rechazo vs abandono vs caída técnica); (4) habilite visibilidad, gestión del desempeño y acciones de recuperación basadas en datos, mejorando la conversión actual (565.297 pre-evaluaciones → 28.280 ventas = 5%) y la información disponible para negocio.</t>
  </si>
  <si>
    <t>Transversal (todos los flujos)</t>
  </si>
  <si>
    <t>B1: Visibilidad de dónde se cae la conversión (por etapa, canal, producto y motivo).
B2: Cuantifica el abandono real por nodo digital (dónde se pierden clientes y en qué magnitud).
B3: Mide la reconversión omnicanal: cuántos abandonan digital y terminan vendiendo en sucursal (atribución).
B4: Permite entender el impacto del 'No' en Simulación/Evaluación (rechazo vs abandono vs derivación).
B5: Permite priorizar iniciativas con impacto real (optimización basada en datos, no percepciones).
B6: Habilita acciones de recuperación (contacto, derivación, recordatorios, ofertas alternativas) basadas en triggers.
B7: Mejora la gestión operativa con alertas y seguimiento de SLAs (tiempos por etapa, colas, caídas técnicas).
B8: Habilita comparabilidad omnicanal (TAPP vs SVP vs Presencial) y detección de brechas de experiencia.
B9: Reduce 'caja negra' de decisiones al incorporar motivos/códigos estandarizados.
B10: Soporta gobierno y mejora continua (A/B tests, calibración de reglas, seguimiento post-cambios).</t>
  </si>
  <si>
    <t>A1: Definir el modelo de funnel: etapas estándar, eventos de entrada/salida y transiciones obligatorias (incluye abandonos y rechazos).
A2: Definir diccionario de métricas y KPIs (conversión etapa-etapa, tasa de caída, TAT por etapa, tasa de error, % derivación, abandono por nodo).
A3: Acordar el identificador único de solicitud y reglas para deduplicación/omnichannel (una solicitud que migra de canal).
A4: Definir qué es 'abandono' por nodo digital (timeout, cierre app, drop-off, 'No', error) y el modelo de eventos (start/finish/decision/error) + motivos/códigos.
A5: Instrumentar eventos en sistemas/canales (TAPP, SVP, Presencial/orquestador, FICO, documental, curse) con códigos de estado/motivo.
A6: Integrar con datos de Sucursal Presencial para detectar retoma/venta posterior y construir atribución omnicanal.
A7: Implementar pipeline de datos (ingesta, calidad, reconciliación, dimensiones: canal/etapa/producto/segmento) y almacenamiento.
A8: Construir dashboards y alertas (funnel de conversión + abandono por nodo + reconversión); ejecutar piloto de medición, ajustar definiciones y cerrar gobierno de datos.</t>
  </si>
  <si>
    <t>E1: Definición del funnel TO-BE (5 etapas) con mapa de eventos y transiciones por canal.
E2: Definición de abandono por nodo (criterios, ventanas de tiempo, reglas de conteo) y mapa de nodos digitales.
E3: Diccionario de métricas/KPIs unificado (funnel + abandono + reconversión: fórmulas, ventanas, segmentaciones, ownership).
E4: Definición del ID único de solicitud + reglas de deduplicación y continuidad omnicanal (TAPP/SVP/Presencial).
E5: Catálogo estandarizado de estados y motivos por etapa (aprobado/rechazado/abandono/error/pendiente) para analítica.
E6: Especificación de tracking/instrumentación (event schema, payload mínimo, fuentes, frecuencia, validaciones de calidad).
E7: Implementación del pipeline de datos (ingesta → validación → modelo analítico → dataset de funnel + abandono + reconversión).
E8: Dashboards integrados: conversión por etapa/canal, abandono por nodo, reconversión a sucursal, cohortes, tendencias + alertas operativas.
E9: Validación de datos (reconciliación vs sistemas fuente, completitud, latencia, consistencia) + evidencias de prueba.
E10: Reporte baseline (situación actual: 565.297 → 28.280 + niveles de abandono) y playbook de acciones de recuperación.
E11: Plan de seguimiento post-mejoras (gobierno, cadencia, triggers para derivar/contactar).</t>
  </si>
  <si>
    <t>INI-07, INI-08, INI-12, INI-26, INI-27, INI-28</t>
  </si>
  <si>
    <t>definición oficial de las 5 etapas y eventos, instrumentación de TAPP/SVP, data platform/pipeline, estándar de IDs para unir TAPP/SVP/Siebel, definición de abandono y catálogo de motivos (especialmente 'No' en sim/eval), y mecanismo de match con sucursal para reconversión; se apalanca en  y es base de análisis para . Absorbe el alcance completo de la anterior</t>
  </si>
  <si>
    <t>Requiere definición oficial de las 5 etapas y eventos, instrumentación de TAPP/SVP, data platform/pipeline, estándar de IDs para unir TAPP/SVP/Siebel, definición de abandono y catálogo de motivos (especialmente 'No' en sim/eval), y mecanismo de match con sucursal para reconversión; depende de INI-12 (gobierno), se apalanca en INI-07 (omnicanalidad/retoma) y es base de análisis para INI-08. Absorbe el alcance completo de la anterior INI-09 (ex INI-10).
🔗 DEPENDENCIAS CRUZADAS (Func↔Téc): INI-26 (BigQuery para analytics); INI-27 (Observabilidad base); INI-28 (Trazabilidad E2E).</t>
  </si>
  <si>
    <t>Requiere definición oficial de las 5 etapas y eventos, instrumentación de TAPP/SVP, data platform/pipeline, estándar de IDs para unir TAPP/SVP/Siebel, definición de abandono y catálogo de motivos (especialmente 'No' en sim/eval), y mecanismo de match con sucursal para reconversión; depende de INI-12 (gobierno), se apalanca en INI-07 (omnicanalidad/retoma) y es base de análisis para INI-08. Absorbe el alcance completo de la anterior INI-09 (ex INI-10).</t>
  </si>
  <si>
    <t>Data/BI / Analytics (owner), TI Data/Plataforma, Canales Digitales (TAPP/SVP), Ger. Sucursal Presencial + Equipo Siebel (match reconversión), TI Integración (eventos/IDs), Operaciones, Ger. Comercial, Ger. Riesgo (para motivos/estados)</t>
  </si>
  <si>
    <t>FG-19 FG-31</t>
  </si>
  <si>
    <t>📊 Negocio</t>
  </si>
  <si>
    <t>Transversal (todo el flujo)</t>
  </si>
  <si>
    <t>Transversal</t>
  </si>
  <si>
    <t>FG-19/FG-31: Trazabilidad de funnel E2E, mide abandono por etapa</t>
  </si>
  <si>
    <t>BigQuery / GCP Analytics</t>
  </si>
  <si>
    <t>TAPP, Siebel, FICO</t>
  </si>
  <si>
    <t>Datos y Analítica</t>
  </si>
  <si>
    <t>Datos / BI</t>
  </si>
  <si>
    <t>GCP</t>
  </si>
  <si>
    <t>BigQuery, Looker/DataStudio, Dashboards</t>
  </si>
  <si>
    <t>INI-11</t>
  </si>
  <si>
    <t>Desacople Lógica de Negocio del Motor + Gobierno de Reglas</t>
  </si>
  <si>
    <t>Reglas de knockout y scoring están embebidas en FICO sin interfaz de negocio. Cambiar una regla toma semanas vía TI. Se necesita capa de parametrización donde Riesgo gestione reglas autónomamente.
[Ampliación — Gobierno de Reglas] Definir el modelo de gobierno para la gestión de reglas desacopladas: responsables por tipo de regla (knockout, scoring, oferta), protocolo de solicitud/aprobación/despliegue de cambios, flujo de autorización (quién solicita, quién valida impacto, quién aprueba, quién ejecuta), ventanas de cambio permitidas, y trazabilidad de cada modificación con auditoría.</t>
  </si>
  <si>
    <t>Implementar una capa de parametrización/gestión de reglas (interfaz de negocio) que desacople las reglas de knockout y scoring hoy embebidas en FICO/motor técnico, permitiendo que Riesgo administre y publique cambios de reglas de forma autónoma, controlada y auditable, reduciendo el time-to-change de semanas a ciclos cortos sin depender de TI para cada ajuste.</t>
  </si>
  <si>
    <t>B1: Reduce drásticamente el tiempo de cambio de reglas (de semanas a días/horas según gobernanza).
B2: Aumenta la agilidad del negocio para ajustar apetito de riesgo, pricing y campañas.
B3: Mejora la gobernanza y auditoría (versionado, aprobaciones, trazabilidad de qué regla aplicó).
B4: Disminuye riesgo operativo por cambios “hardcodeados” y despliegues frecuentes de TI.
B5: Habilita pruebas y simulación de cambios (impacto antes de publicar) y rollback seguro.
B6: Facilita consistencia omnicanal al centralizar reglas consumidas por los flujos (INI-01/02/03/05/08).</t>
  </si>
  <si>
    <t>A1: Levantar reglas actuales en FICO/motor (knockouts, thresholds, segmentos) y definir qué se externaliza a la capa de reglas.
A2: Definir el modelo de reglas (tipos de regla, prioridad, condiciones, acciones, motivos/códigos) y requerimientos no funcionales (latencia, disponibilidad).
A3: Diseñar la interfaz de negocio: edición, validaciones, workflow de aprobación, versionado, comentarios, publicación por ambiente.
A4: Diseñar el runtime: cómo el motor técnico consume reglas (API/config), caching, idempotencia, y compatibilidad con FICO.
A5: Implementar simulador/sandbox y controles de despliegue (feature flags, canary, rollback).
A6: Piloto: migrar un set acotado de reglas, medir tiempos de cambio, errores, performance y ajustar gobernanza.
A7: Definir modelo de gobierno de reglas: asignar responsables por tipo de regla (knockout → Ger. Riesgo, scoring → Ger. Riesgo, oferta → Ger. Producto), definir protocolo de solicitud/aprobación/despliegue de cambios, ventanas de cambio permitidas y mecanismo de auditoría y trazabilidad de cada modificación.</t>
  </si>
  <si>
    <t>E1: Inventario de reglas actuales + decisión de externalización (qué queda en FICO vs qué pasa a capa negocio).
E2: Modelo de reglas y estándar de motivos/códigos (estructura, prioridades, condiciones/acciones).
E3: Diseño e implementación de la Interfaz de Reglas (UI) con workflow (creación, revisión, aprobación, publicación).
E4: API/Contrato para consumo de reglas por el motor/orquestador (OpenAPI) + estrategia de caching y resiliencia.
E5: Versionado y auditoría: trazas por decisión (rule-id, versión, variables usadas), bitácora de cambios y permisos.
E6: Sandbox/Simulador de impacto (pruebas con histórico, comparativo antes/después, reportes).
E7: Implementación de controles de despliegue (feature flags, canary, rollback) y guía operativa.
E8: Plan y evidencias de pruebas (funcionales, seguridad, performance, regresión) + UAT con Riesgo.
E9: Gobierno/RACI y manual de operación (roles, permisos, cadencia de cambios, checklist de publicación).</t>
  </si>
  <si>
    <t>INI-01, INI-12, INI-13, INI-18, INI-23, INI-33</t>
  </si>
  <si>
    <t>seleccionar solución de reglas (BRMS/DMN o capa propia), IAM/roles, workflow de aprobación, versionado/auditoría/rollback y sandbox de simulación; y habilita agilidad/parametría para /02/03/05/08 y potencialmente umbrales/validaciones de</t>
  </si>
  <si>
    <t>Requiere seleccionar solución de reglas (BRMS/DMN o capa propia), IAM/roles, workflow de aprobación, versionado/auditoría/rollback y sandbox de simulación; depende de INI-12 y habilita agilidad/parametría para INI-01/02/03/05/08 y potencialmente umbrales/validaciones de INI-13 (ex INI-17).
🔗 DEPENDENCIAS CRUZADAS (Func↔Téc): INI-18 (FICO v7 para desacoplar); INI-33 (Parametrización reglas + IA); INI-23 (Jobs separados).</t>
  </si>
  <si>
    <t>Requiere seleccionar solución de reglas (BRMS/DMN o capa propia), IAM/roles, workflow de aprobación, versionado/auditoría/rollback y sandbox de simulación; depende de INI-12 y habilita agilidad/parametría para INI-01/02/03/05/08 y potencialmente umbrales/validaciones de INI-13 (ex INI-17).</t>
  </si>
  <si>
    <t>Ger. Riesgo (owner funcional de reglas), TI Arquitectura/Integración (owner técnico), Proveedor FICO/Ventiv, Seguridad/Ciber (roles/auditoría), Compliance, Data/BI (simulación/impacto)</t>
  </si>
  <si>
    <t>FG-29 FG-33</t>
  </si>
  <si>
    <r>
      <t>🔴 Riesgo</t>
    </r>
    <r>
      <rPr>
        <b/>
        <sz val="8"/>
        <color rgb="FFE67E22"/>
        <rFont val="Segoe UI"/>
        <family val="2"/>
      </rPr>
      <t>📊 Negocio</t>
    </r>
  </si>
  <si>
    <t>Evaluación</t>
  </si>
  <si>
    <t>FG-29/FG-33: Desacople reglas del motor FICO → interfaz parametrización</t>
  </si>
  <si>
    <t>Blaze Advisor, OSB</t>
  </si>
  <si>
    <t>OCI Santiago / OKE</t>
  </si>
  <si>
    <t>Blaze Advisor v7 (120+ reglas), DMPS</t>
  </si>
  <si>
    <t>✅ AMPLIADA: Se agrega gobierno de reglas (responsables, protocolo cambios, flujo autorización, auditoría). Prerrequisito de INI-33.</t>
  </si>
  <si>
    <t>Ampliada</t>
  </si>
  <si>
    <t>INI-12</t>
  </si>
  <si>
    <t>Gobierno Integral E2E del Proceso de Crédito (Blueprint + Owner + RACI + Cadencias)</t>
  </si>
  <si>
    <t>[Componente Funcional — ex INI-12] El flujo To-Be propuesto es el blueprint, pero hoy cada área tiene comprensión parcial y distinta del proceso. Se debe documentar, socializar y mantener como activo vivo con ownership asignado.
[Componente Técnico-Operativo — ex INI-29] Designación de owner E2E del proceso de otorgamiento de crédito. Matriz RACI por componente y gerencia. Cadencias formales: daily operativo, semanal táctica, quincenal estratégica. Gobierno incremental en cada TO-BE.</t>
  </si>
  <si>
    <t>Documentar, socializar y establecer gobierno del Blueprint E2E del flujo de admisión (TO-BE) como un activo vivo, asegurando una comprensión única y alineada entre áreas (Negocio, Riesgo, TI, Operaciones y Canales: TAPP, SVP, Sucursal Presencial), con ownership, versionado y mecanismo de actualización continua.</t>
  </si>
  <si>
    <t>Gobierno y Personas</t>
  </si>
  <si>
    <t>B1: Alineamiento transversal: reduce interpretaciones distintas del proceso y evita retrabajo.
B2: Mejora la ejecución de iniciativas (INI-01 a INI-11) al tener una referencia única de flujo, decisiones y dependencias.
B3: Facilita gestión del cambio: comunicación y capacitación más rápida y consistente por canal/área.
B4: Reduce riesgos operativos y de compliance al clarificar controles, responsables y evidencias por etapa.
B5: Habilita mejora continua con versionado: se puede comparar “as-is vs to-be” y medir impacto por release.</t>
  </si>
  <si>
    <t>A1: Consolidar el flujo TO-BE en un modelo único (E2E) con etapas, decisiones, variantes por tipo de cliente/canal.
A2: Documentar RACI/ownership por etapa (quién define, ejecuta, aprueba cambios; puntos de control).
A3: Definir estándares de documentación: BPMN, glosario, catálogos (estados/motivos), y definición de interfaces entre áreas/sistemas.
A4: Realizar talleres de socialización/validación con stakeholders y cerrar acuerdos (Riesgo, Canales, Ops, TI, Legal/Compliance).
A5: Publicar en repositorio corporativo con versionado (control de cambios, releases, calendario de revisiones).
A6: Implementar mecanismo de mantenimiento: cadencia de actualización, comité de cambios y “definition of done” documental por iniciativa.
A7: Definir cadencias operativas formales: daily operativo, semanal táctico, quincenal estratégico. Establecer Owner E2E del proceso de crédito con autoridad para resolver conflictos entre áreas.
A8: Implementar modelo de gobierno incremental: medir madurez baseline (AS-IS) con scoring COBIT y definir metas por cada ciclo TO-BE.</t>
  </si>
  <si>
    <t>E1: Blueprint E2E (diagrama principal) del flujo de admisión TO-BE con variantes (Express/Normal/Sin oferta/NO OK; TAPP/SVP/Presencial).
E2: Paquete de documentación por etapa (Generación de oferta, Simulación, Evaluación, Documentación, Curse): objetivos, entradas/salidas, controles.
E3: RACI y ownership (dueño del proceso, dueños por etapa, aprobadores, operación).
E4: Glosario y diccionario de términos (etapas, estados, “No”, motivos, IDs, SLA).
E5: Mapa de integraciones e interfaces (sistemas involucrados, APIs, datos, SLAs, puntos de fallo).
E6: Catálogo estándar de estados/motivos (para operación y analítica: INI-09/10).
E7: Materiales de socialización: presentaciones, minutas, FAQs y capacitaciones por área/canal.
E8: Repositorio publicado (Confluence/SharePoint/etc.) con control de versiones y plantilla estándar.
E9: Modelo de gobierno y cadencia (comité, proceso de cambios, checklist y calendario de revisión).</t>
  </si>
  <si>
    <t>sponsor, dueños por etapa, repositorio y cadencia de actualización</t>
  </si>
  <si>
    <t>Requiere sponsor, dueños por etapa, repositorio y cadencia de actualización; no depende de otras INI y actúa como base/gobierno para el resto.
🔗 DEPENDENCIAS CRUZADAS (Func↔Téc): INI-29 (Gobierno E2E técnico — contraparte técnica).</t>
  </si>
  <si>
    <t>Requiere sponsor, dueños por etapa, repositorio y cadencia de actualización; no depende de otras INI y actúa como base/gobierno para el resto.</t>
  </si>
  <si>
    <t>PMO / Gestión de Procesos (owner), Ger. Comercial, Ger. Riesgo, Operaciones, TI Arquitectura, Canales (TAPP/SVP/Sucursal), Legal/Compliance</t>
  </si>
  <si>
    <t>Funcional + Técnica</t>
  </si>
  <si>
    <t>FG-35</t>
  </si>
  <si>
    <t xml:space="preserve"> Gobierno</t>
  </si>
  <si>
    <t>Transversal (Gobierno)</t>
  </si>
  <si>
    <t>FG-35: Gobierno del proceso E2E, no es una etapa específica</t>
  </si>
  <si>
    <t>Gobierno / Proceso (no aplicativo)</t>
  </si>
  <si>
    <t>Todos los sistemas</t>
  </si>
  <si>
    <t>Gobierno y Operación</t>
  </si>
  <si>
    <t>Gobierno</t>
  </si>
  <si>
    <t>N/A (organizacional)</t>
  </si>
  <si>
    <t>RACI, cadencias, owner E2E</t>
  </si>
  <si>
    <t>✅ FUSIÓN: Absorbe INI-29 (Owner+RACI+Cadencias). Ahora cubre blueprint funcional + modelo operativo gobierno. INI-29 eliminada.</t>
  </si>
  <si>
    <t>Fusionada (absorbió INI-29)</t>
  </si>
  <si>
    <t>INI-13</t>
  </si>
  <si>
    <t>Resiliencia Operativa</t>
  </si>
  <si>
    <t>Hoy si un componente falla (crítico o no) el flujo completo se detiene sin rutas alternativas. No existe clasificación de dependencias por criticidad, ni fallbacks definidos, ni monitoreo proactivo de la salud de componentes clave (como la Base de Aprobados y su batch nocturno).
Esta iniciativa aborda:
(1) resiliencia funcional con modos degradados y fallbacks por etapa/canal; y
(2) sensor de salud de componentes críticos (Base de Aprobados, batch, campañas), para asegurar continuidad parcial controlada del servicio de crédito.</t>
  </si>
  <si>
    <t>Diseñar e implementar un marco de resiliencia operativa para el proceso de admisión de crédito que:
(1) clasifique dependencias por criticidad;
(2) defina modos degradados y fallbacks controlados por etapa, canal y tipo de cliente;
(3) establezca lineamientos para mantener continuidad operativa ante contingencias, minimizando interrupciones totales; y
(4) asegure el mantenimiento de controles de riesgo y compliance durante la operación degradada.</t>
  </si>
  <si>
    <t>Técnico</t>
  </si>
  <si>
    <t>B1: Reduce caídas completas del onboarding cuando falla un componente no crítico (modos degradados).
B2: Detección temprana de incidentes en componentes clave (Base de Aprobados, batch, campañas) antes de impacto masivo.
B3: Mejora la conversión al evitar pérdidas por indisponibilidad parcial o fallas silenciosas.
B4: Aumenta la continuidad operativa (TAPP, SVP, Sucursal) con rutas alternativas controladas.
B5: Reduce pérdida de conversión por fallas silenciosas.
B6: Reduce impacto en SLA/TAT al permitir avanzar o aparcar casos con reintentos automáticos.
B7: Mantiene control y cumplimiento al definir qué fallbacks son permitidos y cuáles requieren derivación humana o stop.
B9: Mejora observabilidad y gestión de incidentes.
B10: Aumenta confiabilidad de campañas y canal banner al asegurar calidad y disponibilidad de datos.
B11: Entrega trazabilidad para análisis de causa raíz.</t>
  </si>
  <si>
    <t>A1: Clasificar dependencias por criticidad (críticas / no críticas) por etapa.
A2: Definir estrategias de fallback por falla: reintento, cola y reproceso, caché/último valor válido, bypass controlado, derivación humana o pausa con retoma.
A3: Definir reglas de degradación permitida por tipo de cliente y canal.
A4: Definir qué es validación y falla en componentes clave (Base de Aprobados, batch nocturno, campañas).
A5: Definir métricas del sensor de salud: % fallas, volumen, frescura del batch, distribución por motivo, umbrales y ventanas de tiempo.
A7: Implementar controles técnicos: timeouts, circuit breaker, colas, idempotencia, almacenamiento de estado para retoma.
A8: Implementar sensor de salud de componentes críticos.
A9: Implementar alertamiento operacional, rutas de escalamiento y runbooks por tipo de falla.
A10: Implementar trazabilidad de eventos, motivos y métricas de modo degradado y sensor de salud.
A11: Pruebas de resiliencia, simulación de fallas, calibración de umbrales y piloto controlado.</t>
  </si>
  <si>
    <t>E1: Matriz de dependencias y criticidad por etapa/canal.
E2: Catálogo de modos degradados y fallbacks aprobados.
E3: Reglas de continuidad vs stop.
E4: Especificación del sensor de salud.
E5: Definición de reglas de validación y catálogo de fallas/motivos.
E7: Diseño técnico de resiliencia.
E8: Implementación del motor de monitoreo/sensor.
E9: Catálogo de motivos/códigos de fallas y fallback activado.
E10: Implementación en orquestador/microservicios/canales.
E11: Configuración de alertas y escalamiento + runbooks operativos.
E12: Dashboard integrado de salud y resiliencia.
E13: Plan y evidencias de pruebas de resiliencia + UAT.
E14: Plan de operación.</t>
  </si>
  <si>
    <t>INI-06, INI-07, INI-09, INI-12, INI-24, INI-27, INI-31</t>
  </si>
  <si>
    <t>clasificación de dependencias críticas/no críticas
patrones de resiliencia (timeouts / circuit breaker / colas / retry)
instrumentación de validación en FICO/Base Aprobados
definición de umbrales y ventanas
runbooks y aprobación de fallbacks por Riesgo
absorbe el alcance del sensor de salud Base Aprobados</t>
  </si>
  <si>
    <t>Requiere clasificación de dependencias críticas/no críticas, patrones de resiliencia (timeouts/circuit breaker/colas/retry), instrumentación de validación en FICO/Base Aprobados (éxito/falla+motivo), definición de umbrales y ventanas, runbooks y aprobación de fallbacks por Riesgo; depende de INI-12 (gobierno), se apalanca en INI-07 (pausar/retomar), INI-06 (derivación a canales) y se mide con INI-09. Absorbe el alcance completo de la anterior INI-13 (ex INI-17) (sensor de salud Base Aprobados). Los flujos de excepción por deprecación son clave para los ciclos TO-BE 2 y 3 (migración OSB→Camel, Siebel→Salesforce).
🔗 DEPENDENCIAS CRUZADAS (Func↔Téc): INI-24 (Camel con circuit breaker); INI-27 (Observabilidad para detectar fallas); INI-31 (Runbooks técnicos).</t>
  </si>
  <si>
    <t>Requiere clasificación de dependencias críticas/no críticas, patrones de resiliencia (timeouts/circuit breaker/colas/retry), instrumentación de validación en FICO/Base Aprobados (éxito/falla+motivo), definición de umbrales y ventanas, runbooks y aprobación de fallbacks por Riesgo; depende de INI-12 (gobierno), se apalanca en INI-07 (pausar/retomar), INI-06 (derivación a canales) y se mide con INI-09. Absorbe el alcance completo de la anterior INI-13 (ex INI-17) (sensor de salud Base Aprobados). Los flujos de excepción por deprecación son clave para los ciclos TO-BE 2 y 3 (migración OSB→Camel, Siebel→Salesforce).</t>
  </si>
  <si>
    <t>TI Arquitectura/Plataforma
Operaciones
Sonda
Canales
Proveedor FICO/Ventiv
Ger. Riesgo
Ger. Comercial
Data/BI</t>
  </si>
  <si>
    <t>Técnica</t>
  </si>
  <si>
    <t xml:space="preserve"> Gobierno📊 Negocio</t>
  </si>
  <si>
    <t>Resiliencia operativa aplicable a todas las etapas</t>
  </si>
  <si>
    <t>Resiliencia operativa, continuidad</t>
  </si>
  <si>
    <t>🟢 OK: Nombre confirmado. Delimita QUÉ hacer ante falla (reglas negocio). Complementa INI-30 (proveedores) e INI-31 (runbooks).</t>
  </si>
  <si>
    <t xml:space="preserve"> Flujos de Excepción</t>
  </si>
  <si>
    <t xml:space="preserve">Hoy no existe un flujo formal para operar cuando un sistema se depreca, migra o presenta una falla prolongada. Esto dificulta mantener el nivel de servicio y tomar decisiones controladas durante transiciones tecnológicas o contingencias extendidas.
Esta iniciativa define flujos de excepción para escenarios de deprecación, migración o falla prolongada de sistemas, estableciendo cómo sostener continuidad parcial, quién activa/desactiva medidas excepcionales y cómo ejecutar rollback o derivación controlada.
</t>
  </si>
  <si>
    <t>Diseñar e implementar flujos de excepción para el proceso de admisión de crédito que:
(1) definan cómo operar ante deprecación, migración o falla prolongada de sistemas;
(2) establezcan criterios de activación, desactivación, escalamiento y rollback;
(3) aseguren continuidad parcial controlada del servicio; y
(4) resguarden controles de riesgo, compliance y trazabilidad durante escenarios excepcionales.</t>
  </si>
  <si>
    <t>B4: Aumenta la continuidad operativa con rutas alternativas controladas.
B7: Mantiene control y cumplimiento al definir qué excepciones son permitidas y cuáles requieren derivación humana o stop.
B8: Habilita plan de transición controlada cuando se depreca o migra un sistema (ej: OSB→Camel, Siebel→Salesforce).
B9: Mejora observabilidad y gestión de incidentes al formalizar qué excepción se activó y su impacto.
B11: Entrega trazabilidad para análisis posterior y auditoría.</t>
  </si>
  <si>
    <t>A6: Diseñar flujos de excepción formales para escenarios de deprecación/migración de sistemas: qué pasa durante la transición, cómo se mantiene servicio parcial, quién decide activar/desactivar, rollback.
Definir escenarios tipo de excepción: deprecación, migración, caída prolongada, degradación severa.
Definir criterios de activación y desactivación.
Definir responsables de decisión y escalamiento.
Definir alternativas operativas por canal/etapa.
Definir criterios de rollback y retorno a operación normal.
Definir comunicaciones, trazabilidad y evidencia de activación.
Ejecutar pruebas / simulaciones de escenarios excepcionales.</t>
  </si>
  <si>
    <t>E6: Diseño de flujos de excepción para deprecación/migración de sistemas (procedimiento, criterios activación, rollback, comunicación).
Matriz de escenarios excepcionales y respuesta esperada.
Protocolo de activación/desactivación.
Runbook de operación excepcional.
Matriz RACI de decisiones.
Evidencias de prueba / simulación.</t>
  </si>
  <si>
    <t>lineamientos de transición tecnológica
definición de responsables de activación
aprobación de operación excepcional por Riesgo/Negocio
runbooks operativos
dependencia con ciclos TO-BE 2 y 3
migración OSB→Camel, Siebel→Salesforce</t>
  </si>
  <si>
    <t>TI Arquitectura/Plataforma
Operaciones
Canales
Ger. Riesgo
Ger. Comercial
dueños de sistemas en migración</t>
  </si>
  <si>
    <t>INI-14</t>
  </si>
  <si>
    <t xml:space="preserve">Módulo de Solicitud de Crédito en TAPP (Sin Banner) — </t>
  </si>
  <si>
    <t>Habilitar un módulo permanente en TAPP para solicitar crédito sin depender del banner de oferta pre-aprobada. Hoy si el cliente no tiene oferta en Base de Aprobados, no puede iniciar el flujo desde la app. Separa el canal banner (Express/Normal) del canal por demanda (Sin oferta → Pre-evaluación FICO).</t>
  </si>
  <si>
    <t>Habilitar en TAPP un módulo permanente para iniciar una solicitud de crédito sin depender del banner de oferta pre-aprobada, permitiendo que clientes sin oferta en Base de Aprobados también puedan comenzar el flujo desde la app, separando claramente: (i) canal banner (Express/Normal con oferta) y (ii) canal por demanda (Sin oferta → Pre-evaluación FICO → oferta dinámica/siguiente etapa).</t>
  </si>
  <si>
    <t>B1: Aumenta el acceso al crédito desde TAPP para clientes sin oferta (hoy no pueden iniciar).
B2: Incrementa volumen de oportunidades y conversión al habilitar un canal “por demanda” siempre disponible.
B3: Reduce dependencia del banner (menos estacionalidad/campañas para originar).
B4: Mejora la experiencia: el cliente encuentra una opción clara y estable (“Solicitar crédito”).
B5: Permite enrutar correctamente al TO-BE: con oferta → Express/Normal; sin oferta → INI-01 (pre-FICO) y luego INI-02 si aplica.
B6: Habilita mejor medición del funnel digital (base para INI-09/10) al instrumentar inicio y abandonos en el módulo.</t>
  </si>
  <si>
    <t>A1: Definir el alcance UX/UI del módulo (entry point permanente, elegibilidad, copy, consentimientos) y su convivencia con el banner.
A2: Diseñar el ruteo TO-BE en TAPP: con oferta → Express/Normal; sin oferta → pre-evaluación FICO; NO OK → mensaje/fin.
A3: Definir datos mínimos a capturar en TAPP para iniciar “por demanda” (identificación, contacto, autorización, etc.).
A4: Implementar integraciones: microservicio de derivación (INI-05 si aplica), pre-evaluación FICO (INI-01), y continuidad hacia simulación/oferta dinámica.
A5: Implementar instrumentación de eventos (inicio, paso de etapa, decisión, abandono, errores) para funnel y abandono (INI-09/10).
A6: Pruebas, piloto y despliegue gradual (feature flags, cohortes, monitoreo de conversión y performance).</t>
  </si>
  <si>
    <t>E1: Diseño UX/UI del módulo permanente en TAPP (wireframes, copy, reglas de visibilidad y navegación).
E2: Diseño funcional de ruteo TO-BE en TAPP (con oferta/Express/Normal vs sin oferta/pre-FICO vs NO OK).
E3: Requerimientos y modelo de datos mínimos + consentimientos/autorizaciones para iniciar solicitud.
E4: Especificación de integraciones/APIs (derivación INI-05, pre-FICO INI-01, INI-02 si corresponde, simulación).
E5: Implementación en TAPP (front + back) con feature flags y configuración por ambiente.
E6: Esquema de instrumentación (eventos y motivos) alineado a funnel/abandono (INI-09/10).
E7: Plan y evidencias de pruebas (funcionales, seguridad, performance, E2E) + UAT.
E8: Tablero de monitoreo (uso del módulo, conversión por ruta, abandonos, errores, latencia) + alertas.
E9: Reporte de piloto y plan de escalamiento (segmentos, mejoras UX, ajustes de ruteo).</t>
  </si>
  <si>
    <t>INI-01, INI-02, INI-05, INI-09, INI-12, INI-15, INI-20, INI-22</t>
  </si>
  <si>
    <t>UX/UI del módulo permanente en TAPP, consentimientos y ruteo “con oferta vs por demanda”, más integraciones de decisión (vía FICO) y telemetría; y usualmente , se mide con  y se recomienda complementar con  para evitar pérdida de avance en simulación</t>
  </si>
  <si>
    <t>Requiere UX/UI del módulo permanente en TAPP, consentimientos y ruteo “con oferta vs por demanda”, más integraciones de decisión (vía FICO) y telemetría; depende de INI-12, INI-05 (derivación), INI-01 (pre-FICO sin oferta) y usualmente INI-02 (oferta dinámica), se mide con INI-09/INI-09 (ex INI-10) y se recomienda complementar con INI-15 para evitar pérdida de avance en simulación.
🔗 DEPENDENCIAS CRUZADAS (Func↔Téc): INI-22 (Apigee como gateway para TAPP); INI-20 (Precálculo de oferta viable).</t>
  </si>
  <si>
    <t>Requiere UX/UI del módulo permanente en TAPP, consentimientos y ruteo “con oferta vs por demanda”, más integraciones de decisión (vía FICO) y telemetría; depende de INI-12, INI-05 (derivación), INI-01 (pre-FICO sin oferta) y usualmente INI-02 (oferta dinámica), se mide con INI-09/INI-09 (ex INI-10) y se recomienda complementar con INI-15 para evitar pérdida de avance en simulación.</t>
  </si>
  <si>
    <t>Canales Digitales (TAPP) (owner), Ger. Comercial/Producto, TI Mobile/Integración, Ger. Riesgo (ruteo sin oferta), Proveedor FICO/Ventiv, Data/BI (medición)</t>
  </si>
  <si>
    <t>🟡 Canal 🟣 Cliente</t>
  </si>
  <si>
    <t>Módulo solicitud en TAPP sin banner → entrada al flujo</t>
  </si>
  <si>
    <t>Apigee, BFF</t>
  </si>
  <si>
    <t>Canal (Frontend)</t>
  </si>
  <si>
    <t>TAPP (React), Apigee</t>
  </si>
  <si>
    <t>INI-15</t>
  </si>
  <si>
    <t xml:space="preserve">Recuperación de Simulación ante Caída (Session Recovery) — </t>
  </si>
  <si>
    <t>Persistir el estado de la simulación en tiempo real para que, si el sistema cae, el cliente retome exactamente donde quedó al volver el servicio. Hoy se pierde todo el avance y debe reiniciar desde cero.</t>
  </si>
  <si>
    <t>Implementar persistencia en tiempo real del estado de Simulación (especialmente en TAPP y SVP) para que, ante una caída del sistema/app o pérdida de sesión, el cliente pueda retomar exactamente donde quedó al reingresar, sin reiniciar desde cero, con controles de vigencia, seguridad y trazabilidad.</t>
  </si>
  <si>
    <t>B1: Reduce abandono en Simulación al evitar que el cliente pierda el avance por caídas/desconexiones.
B2: Mejora la experiencia digital (continuidad “exacta” de la simulación).
B3: Aumenta conversión al disminuir fricción en el paso Simulación → Evaluación.
B4: Disminuye reprocesos y carga en canales/soporte (menos reclamos y reintentos).
B5: Aporta resiliencia funcional (complementa modo degradado / continuidad del flujo).
B6: Habilita analítica de estabilidad: identificación de puntos de falla y su impacto en el funnel.</t>
  </si>
  <si>
    <t>A1: Definir qué significa “retomar exactamente”: datos a persistir (inputs, oferta seleccionada, resultados parciales, pantalla/paso).
A2: Definir el modelo de sesión: ID de simulación, vinculación a cliente, multi-dispositivo, concurrencia, y caducidad (TTL).
A3: Diseñar e implementar el session store (API guardar/leer), con guardado incremental (autosave) y versionado.
A4: Integrar TAPP/SVP para autosave y resume (al abrir: detectar sesión vigente y rehidratar pantalla/estado).
A5: Definir manejo de errores y seguridad: cifrado, PII, consentimiento, límites de reintentos, “limpiar sesión” si corresponde.
A6: Pruebas de recuperación: caída de app, timeout, caída backend, reconexión, performance y casos límite.</t>
  </si>
  <si>
    <t>E1: Definición funcional de estado de simulación a persistir + criterios de “resume” (exactitud, caducidad, restricciones).
E2: Diseño del modelo de sesión (IDs, TTL, concurrencia, multi-canal si aplica) y reglas de recuperación.
E3: Especificación de APIs de Session Recovery (guardar incremental, obtener estado, cerrar/cancelar, expiración).
E4: Implementación del Session Store (persistencia, cifrado, auditoría, configuración por ambiente).
E5: Implementación en TAPP y SVP (autosave, rehidratación de UI, mensajes al cliente).
E6: Catálogo de motivos/estados de recuperación (recuperada, expirada, inconsistente, no encontrada) para analítica.
E7: Plan y evidencias de pruebas (E2E, performance, resiliencia, seguridad/PII) + UAT.
E8: Monitoreo/KPIs (tasa de recovery, abandono en simulación, errores de resume, latencia de guardado) + alertas.
E9: Guía operativa (runbook) y criterios de soporte: cuándo resetear sesión, cómo diagnosticar fallas.</t>
  </si>
  <si>
    <t>INI-07, INI-09, INI-12, INI-13, INI-16, INI-25</t>
  </si>
  <si>
    <t>definir estado exacto de simulación a persistir, session store seguro y performance de autosave, TTL y mecanismo de retoma; y se alinea con , habilita  y refuerza continuidad de; su impacto se observa en</t>
  </si>
  <si>
    <t>Requiere definir estado exacto de simulación a persistir, session store seguro y performance de autosave, TTL y mecanismo de retoma; depende de INI-12 y se alinea con INI-07 (ideal compartir ID/store), habilita INI-16 (notificación post-caída) y refuerza continuidad de INI-13; su impacto se observa en INI-09 (ex INI-10).
🔗 DEPENDENCIAS CRUZADAS (Func↔Téc): INI-25 (Redis como session store).
[Dependencia] INI-07 (persistencia de estado) debe estar implementada. INI-15 reutiliza esa capa para el caso de falla de sistema.</t>
  </si>
  <si>
    <t>Requiere definir estado exacto de simulación a persistir, session store seguro y performance de autosave, TTL y mecanismo de retoma; depende de INI-12 y se alinea con INI-07 (ideal compartir ID/store), habilita INI-16 (notificación post-caída) y refuerza continuidad de INI-13; su impacto se observa en INI-09 (ex INI-10).</t>
  </si>
  <si>
    <t>Canales Digitales (TAPP/SVP), TI Arquitectura/Integración, TI Mobile, Seguridad/Ciber (PII), Data/BI (impacto en abandono), Operaciones (soporte)</t>
  </si>
  <si>
    <t>Simulación</t>
  </si>
  <si>
    <t>Session recovery: recuperación ante caída durante simulación</t>
  </si>
  <si>
    <t>BFF, Kafka, FICO</t>
  </si>
  <si>
    <t>Canal + Integración</t>
  </si>
  <si>
    <t>TAPP, BFF, Kafka (consumer recovery)</t>
  </si>
  <si>
    <t>🟡 DEPENDENCIA: Requiere INI-07 (persistencia de estado). Reutiliza capa base para recovery ante caída.</t>
  </si>
  <si>
    <t>Dependencia agregada</t>
  </si>
  <si>
    <t>INI-16</t>
  </si>
  <si>
    <t xml:space="preserve">Notificación Proactiva Post-Caída — </t>
  </si>
  <si>
    <t>Al recuperarse el sistema, notificar automáticamente (push TAPP, email o SMS) a los clientes con solicitudes interrumpidas que ya pueden retomar su proceso, incluyendo acceso directo a la pantalla donde quedaron.</t>
  </si>
  <si>
    <t>Implementar un mecanismo de notificación proactiva (push en TAPP, email y/o SMS) que, cuando el sistema se recupere tras una caída/incidente, identifique automáticamente a los clientes con solicitudes interrumpidas y les envíe un mensaje para retomar el proceso, incluyendo un acceso directo (deep link) a la pantalla/etapa donde quedaron.</t>
  </si>
  <si>
    <t>B1: Reduce abandono post-incidente al reactivar clientes que quedaron interrumpidos.
B2: Incrementa conversión al facilitar el retorno inmediato con acceso directo al punto exacto del flujo.
B3: Mejora la experiencia (comunicación transparente y oportuna; menos frustración).
B4: Disminuye carga en soporte/canales (menos consultas “no pude terminar / se cayó”).
B5: Aporta resiliencia funcional y continuidad (complementa INI-15 Session Recovery e INI-07 retomabilidad).
B6: Habilita medición del impacto de incidentes (tasa de notificados, retoma, conversión post-caída).</t>
  </si>
  <si>
    <t>A1: Definir qué es “solicitud interrumpida” y reglas de elegibilidad para notificar (etapas, TTL, opt-in, canal disponible).
A2: Definir el gatillo de recuperación (cómo se detecta “servicio restablecido”: monitoreo, evento ITSM, health-check) y ventanas de envío.
A3: Diseñar el listado de afectados (consulta a store de estado/solicitudes: INI-15/INI-07) y deduplicación por cliente.
A4: Diseñar mensajes y journeys: contenido por canal (push/email/SMS), deep link a TAPP/SVP, y manejo de “link expirado”.
A5: Implementar orquestación de notificaciones (proveedor push, gateway SMS/email), seguridad y trazabilidad de envíos.
A6: Pruebas y piloto: escenarios de caída/recuperación, volumen, reintentos, tasas de entrega y conversión post-notificación.</t>
  </si>
  <si>
    <t>E1: Definición funcional: criterios de interrupción, elegibilidad, ventanas, opt-in/consentimiento y TTL de retoma.
E2: Diseño del mecanismo de gatillo post-recuperación (evento, fuente, gobernanza con TI/Operaciones).
E3: Diseño del modelo de selección de afectados (query, deduplicación, priorización por etapa/canal).
E4: Plantillas de mensajería (push/email/SMS) + reglas de personalización y copy legal/compliance.
E5: Especificación de deep links y experiencia de retoma (pantalla destino, validación, expiración).
E6: Implementación del servicio/orquestador de notificaciones + integraciones con proveedores y stores de estado.
E7: Catálogo de estados/motivos de notificación (enviada, entregada, rebotada, opt-out, expirada) para analítica.
E8: Plan y evidencias de pruebas (E2E, carga, seguridad/PII, contingencias) + UAT.
E9: Dashboard de KPIs (tasa de entrega, CTR/deep link, retoma, conversión post-caída) + runbook operativo.</t>
  </si>
  <si>
    <t>INI-07, INI-09, INI-13, INI-15, INI-27</t>
  </si>
  <si>
    <t>canales de notificación (push TAPP/SMS/email), opt-in/compliance, trigger oficial de “servicio recuperado” y deep links; se mide con  y complementa</t>
  </si>
  <si>
    <t>Requiere canales de notificación (push TAPP/SMS/email), opt-in/compliance, trigger oficial de “servicio recuperado” y deep links; depende de INI-15 (y opcionalmente INI-07 si la retoma es por etapa), se mide con INI-09/INI-09 (ex INI-10) y complementa INI-13.
🔗 DEPENDENCIAS CRUZADAS (Func↔Téc): INI-27 (Observabilidad para trigger de recuperación).
[Dependencia] INI-07 + INI-15. La notificación proactiva requiere que exista la persistencia de estado (INI-07) y la capacidad de detectar la caída y recovery (INI-15).</t>
  </si>
  <si>
    <t>Requiere canales de notificación (push TAPP/SMS/email), opt-in/compliance, trigger oficial de “servicio recuperado” y deep links; depende de INI-15 (y opcionalmente INI-07 si la retoma es por etapa), se mide con INI-09/INI-09 (ex INI-10) y complementa INI-13.</t>
  </si>
  <si>
    <t>Canales Digitales (TAPP/SVP), TI Integración/Arquitectura, Operaciones (gatillo operacional y comunicaciones), Proveedor mensajería (Push/SMS/Email), Seguridad/Compliance (opt-in y contenido)</t>
  </si>
  <si>
    <t>Canal, Cliente</t>
  </si>
  <si>
    <t>Notificación post-caída aplica a cualquier etapa post-simulación</t>
  </si>
  <si>
    <t>Kafka, FICO</t>
  </si>
  <si>
    <t>Canal (UX)</t>
  </si>
  <si>
    <t>TAPP (notificaciones), Kafka</t>
  </si>
  <si>
    <t>🟡 DEPENDENCIA: Requiere INI-07 + INI-15. Notificación post-recovery.</t>
  </si>
  <si>
    <t>INI-18</t>
  </si>
  <si>
    <t>Consolidación Motor FICO v7 + Deprecación v4/Nashorn + Paridad y Apagado Definitivo</t>
  </si>
  <si>
    <t>Estabilización de FICO Blaze Advisor v7 como motor único de decisión. Deprecación completa de Blaze v4 y Nashorn. Incluye migración de reglas remanentes a v7, validación de paridad funcional y apagado definitivo de componentes legacy.
[Fusión INI-19] Migración completa de todas las reglas, modelos y configuraciones remanentes de Blaze v4 a v7. Validación de paridad funcional con pruebas A/B en paralelo. Apagado definitivo de la instancia v4 y liberación de infraestructura.</t>
  </si>
  <si>
    <t>Eliminar la dualidad de motores v4/v7 que genera inestabilidad. Consolidar un motor único con 3 puntos de entrada Blaze (reglas → modelo → oferta). Reducir los 134.446 errores registrados en 5 meses por conflictos de versiones.</t>
  </si>
  <si>
    <t>B1	🟢 Cuantitativo	Reducción de errores FICO	Eliminación de errores por dualidad v4/v7 (134.446 errores en 5 meses)
B2	🟢 Cuantitativo	Simplificación operativa	Un solo motor = una sola configuración, un solo monitoreo, un solo equipo
B3	🟡 Cualitativo	Base para evolución	Habilita parametrización (INI-33) e IA sobre motor estable</t>
  </si>
  <si>
    <t>A1	Inventario de reglas v4 pendientes de migración	Levantar todas las reglas, modelos y configuraciones que aún residen en Blaze v4/Nashorn
A2	Migración y validación de paridad funcional	Migrar cada regla a v7, ejecutar pruebas A/B comparando resultados v4 vs v7 con mismo set de datos
A3	Apagado de v4 y Nashorn	Plan de deprecación con rollback, fecha de corte, comunicación a equipos
A4	Estabilización post-migración	Monitoreo reforzado 30 días post-apagado, validación de métricas de error</t>
  </si>
  <si>
    <t>E1	Inventario de reglas v4 con estado de migración
E2	Reporte de pruebas de paridad funcional A/B
E3	Plan de deprecación v4 con cronograma y rollback
E4	Reporte post-mortem de estabilización</t>
  </si>
  <si>
    <t>Accesos a ambientes FICO (OCI + OKE)</t>
  </si>
  <si>
    <t>Accesos a ambientes FICO (OCI + OKE), INI-29 (Gobierno E2E para coordinar migración)
🔗 DEPENDENCIAS CRUZADAS (Téc→Func): INI-12 (Gobierno funcional para coordinar migración v7).</t>
  </si>
  <si>
    <t>Accesos a ambientes FICO (OCI + OKE), INI-29 (Gobierno E2E para coordinar migración)</t>
  </si>
  <si>
    <t>Ger. Riesgo (owner funcional), Proveedor FICO/Ventiv (ejecución técnica), Sonda (infra OCI)</t>
  </si>
  <si>
    <t>Generación de Oferta + Evaluación</t>
  </si>
  <si>
    <t>FICO v7 se usa tanto en pre-evaluación (Gen. Oferta) como en Evaluación</t>
  </si>
  <si>
    <t>OSB, FlexCube, Blaze v4→v7</t>
  </si>
  <si>
    <t>Lógica de Negocio + Infraestructura</t>
  </si>
  <si>
    <t>OCI Santiago → OKE</t>
  </si>
  <si>
    <t>FICO DMPS, Blaze v4/v7, Nashorn deprecation</t>
  </si>
  <si>
    <t>✅ FUSIÓN: Absorbe INI-19 (Paridad Blaze v7 + Apagado v4). INI-19 eliminada.</t>
  </si>
  <si>
    <t>Fusionada (absorbió INI-19)</t>
  </si>
  <si>
    <t>INI-20</t>
  </si>
  <si>
    <t>Servicio de Precálculo de Oferta Viable (GCP) / disponibilizar servicio de oferta aprobados</t>
  </si>
  <si>
    <t>Nuevo servicio front de precálculo desplegado en GCP que calcula la oferta viable antes de invocar al motor FICO. Incluye 4 Jobs separados por gobierno funcional: Job Cliente (afiliación/MenuAndes), Job Producto (tasas/condiciones), Job Riesgo (scoring/knockout) y Job Cobranza (reprof).</t>
  </si>
  <si>
    <t>Reducir invocaciones innecesarias al motor FICO filtrando clientes sin viabilidad tempranamente. Separar la responsabilidad funcional de cada Job por gerencia.</t>
  </si>
  <si>
    <t>B1	🟢 Cuantitativo	Reducción de carga FICO	~30-40% menos evaluaciones innecesarias
B2	🟢 Cuantitativo	Gobierno por gerencia	Cada Job tiene owner claro (Cliente, Producto, Riesgo, Cobranza)
B3	🟡 Cualitativo	Desacople funcional	Cada gerencia gestiona su lógica de forma independiente</t>
  </si>
  <si>
    <t>A1	Diseño del servicio de precálculo	Arquitectura GCP, contratos API, lógica de filtrado
A2	Desarrollo de 4 Jobs por dominio	Job Cliente, Job Producto, Job Riesgo, Job Cobranza
A3	Configuración de 3 puntos de entrada Blaze	Reglas → Modelo → Oferta
A4	Integración con flujo existente	Conexión con OSB (TO-BE 1) o Camel (TO-BE 2)
A5	Pruebas de carga y validación	Simular volúmenes reales con clientes sin oferta</t>
  </si>
  <si>
    <t>E1	Documento de diseño del servicio de precálculo
E2	4 Jobs desarrollados y desplegados en GCP
E3	Contratos API documentados
E4	Reporte de pruebas de carga</t>
  </si>
  <si>
    <t>INI-02, INI-05, INI-12, INI-18</t>
  </si>
  <si>
    <t>INI-18 (FICO v7 estable), INI-29 (Gobierno E2E), Acceso a GCP
🔗 DEPENDENCIAS CRUZADAS (Téc→Func): INI-02 (Definición funcional de oferta dinámica); INI-05 (Segmentación que define quién recibe precálculo).</t>
  </si>
  <si>
    <t>INI-18 (FICO v7 estable), INI-29 (Gobierno E2E), Acceso a GCP</t>
  </si>
  <si>
    <t>Ger. Riesgo, Ger. Producto, Ger. Clientes, Ger. Cobranza, TI Desarrollo</t>
  </si>
  <si>
    <r>
      <t>🔴 Riesgo</t>
    </r>
    <r>
      <rPr>
        <b/>
        <sz val="8"/>
        <color rgb="FFD68910"/>
        <rFont val="Segoe UI"/>
        <family val="2"/>
      </rPr>
      <t xml:space="preserve">🟡 Canal </t>
    </r>
    <r>
      <rPr>
        <b/>
        <sz val="8"/>
        <color rgb="FF00B050"/>
        <rFont val="Segoe UI"/>
        <family val="2"/>
      </rPr>
      <t>🟢 Producto</t>
    </r>
  </si>
  <si>
    <t>Punto de Entrada → Generación de Oferta</t>
  </si>
  <si>
    <t>Precálculo previo a generación de oferta</t>
  </si>
  <si>
    <t>GCP Microservicios (nuevo)</t>
  </si>
  <si>
    <t>FICO, FlexCube, MenuAndes</t>
  </si>
  <si>
    <t>Microservicios GCP</t>
  </si>
  <si>
    <t>Lógica de Negocio (nuevo)</t>
  </si>
  <si>
    <t>MS Precálculo (nuevo), FICO, FlexCube, MenuAndes</t>
  </si>
  <si>
    <t>🟢 OK: Separada. Servicio precálculo + arquitectura Jobs. Depende de INI-23 para datos.</t>
  </si>
  <si>
    <t>INI-21</t>
  </si>
  <si>
    <t>MS Lógica Crédito (Reemplazo Servicio 147)/mejora del servicio 147</t>
  </si>
  <si>
    <t>Desarrollo del microservicio MS Lógica Crédito en GCP que reemplaza al Servicio 147 del bus. Incluye la extracción de evalScoring fuera de Siebel y su incorporación como servicio independiente.</t>
  </si>
  <si>
    <t>Eliminar la dependencia del Servicio 147 (monolítico). Sacar evalScoring de Siebel para desacoplar lógica de scoring del CRM. Permitir evolución independiente de la lógica de crédito.</t>
  </si>
  <si>
    <t>Cliente oferta aprobada normal</t>
  </si>
  <si>
    <t>B1	🟢 Cuantitativo	Eliminación Servicio 147	Componente legacy eliminado del bus
B2	🟢 Cuantitativo	Desacople evalScoring	Logica de scoring independiente del CRM
B3	🟡 Cualitativo	Evolución independiente	MS Lógica Crédito puede escalar y evolucionar sin tocar Siebel</t>
  </si>
  <si>
    <t>A1	Análisis del Servicio 147	Mapear todas las funciones, dependencias y consumidores del Servicio 147
A2	Diseño del MS Lógica Crédito	Arquitectura microservicio GCP, contratos, circuit breaker
A3	Extracción de evalScoring de Siebel	Desarrollar servicio independiente de scoring
A4	Desarrollo y despliegue en GCP	Implementación, testing, despliegue
A5	Migración de consumidores	Redirigir todos los consumidores del Servicio 147 al MS nuevo</t>
  </si>
  <si>
    <t>E1	Análisis de impacto del Servicio 147
E2	MS Lógica Crédito desplegado en GCP
E3	evalScoring como servicio independiente
E4	Plan de migración de consumidores</t>
  </si>
  <si>
    <t>INI-08, INI-13, INI-18, INI-24</t>
  </si>
  <si>
    <t>INI-24 (Camel como orquestador), INI-18 (FICO v7 estable)
🔗 DEPENDENCIAS CRUZADAS (Téc→Func): INI-08 (Racionalización journey para definir lógica del MS); INI-13 (Flujos de excepción que el MS debe manejar).</t>
  </si>
  <si>
    <t>INI-24 (Camel como orquestador), INI-18 (FICO v7 estable)</t>
  </si>
  <si>
    <t>TI Desarrollo, Ger. Riesgo, Proveedor Siebel</t>
  </si>
  <si>
    <t>MS que reemplaza Servicio 147 (cálculo oferta)</t>
  </si>
  <si>
    <t>OSB (Servicio 147), Siebel</t>
  </si>
  <si>
    <t>MS Lógica Crédito (reemplaza Svc 147), OSB, Siebel</t>
  </si>
  <si>
    <t>Servicio 147 (reemplazado)</t>
  </si>
  <si>
    <t>INI-22</t>
  </si>
  <si>
    <t>Convergencia de Canales a Apigee (API Gateway)</t>
  </si>
  <si>
    <t>Convergencia de todos los canales de entrada (presencial/Siebel y digital/TAPP) hacia API Gateway Apigee. Estandarización de contratos de entrada/salida y rate limiting centralizado para proteger al motor FICO.</t>
  </si>
  <si>
    <t>Unificar la capa de entrada de todos los canales. Implementar rate limiting centralizado. Estandarizar contratos API para facilitar incorporación de nuevos canales.</t>
  </si>
  <si>
    <t>B1	🟢 Cuantitativo	Rate limiting centralizado	Protección del motor FICO contra picos de concurrencia (hoy colapsa a 15-17 usuarios)
B2	🟡 Cualitativo	Estandarización de contratos	Todos los canales hablan el mismo idioma
B3	🟡 Cualitativo	Facilita nuevos canales	Cualquier canal nuevo se conecta vía Apigee</t>
  </si>
  <si>
    <t>A1	Mapeo de canales actuales y contratos	Inventario de endpoints, formatos, protocolos por canal
A2	Diseño de API Gateway en Apigee	Políticas de rate limiting, throttling, seguridad, contratos estándar
A3	Migración de canales a Apigee	Presencial (Siebel) y Digital (TAPP) convergen a Apigee
A4	Pruebas de carga con rate limiting	Validar que Apigee protege al motor bajo picos</t>
  </si>
  <si>
    <t>E1	Diseño de API Gateway con políticas
E2	Canales migrados a Apigee
E3	Reporte de pruebas de carga</t>
  </si>
  <si>
    <t>INI-06, INI-12, INI-14</t>
  </si>
  <si>
    <t>Acceso a Apigee (GCP)</t>
  </si>
  <si>
    <t>Acceso a Apigee (GCP), INI-29 (Gobierno E2E)
🔗 DEPENDENCIAS CRUZADAS (Téc→Func): INI-06 (Modelo de derivación de canales); INI-14 (Módulo TAPP sin banner).</t>
  </si>
  <si>
    <t>Acceso a Apigee (GCP), INI-29 (Gobierno E2E)</t>
  </si>
  <si>
    <t>TI Arquitectura, TI Desarrollo, Ger. Digital</t>
  </si>
  <si>
    <t>Convergencia canales a Apigee → gateway de entrada</t>
  </si>
  <si>
    <t>Apigee (API Gateway)</t>
  </si>
  <si>
    <t>TAPP, Siebel, BFF</t>
  </si>
  <si>
    <t>Integración (API Gateway)</t>
  </si>
  <si>
    <t>Apigee (convergencia canales), TAPP, Siebel</t>
  </si>
  <si>
    <t>INI-23</t>
  </si>
  <si>
    <t>Desarrollo de Flujos para Jobs + Análisis Servicios Bus</t>
  </si>
  <si>
    <t>Desarrollo de los flujos de datos que alimentan los 4 Jobs (Cliente, Producto, Riesgo, Cobranza). Análisis detallado de los +25 servicios del bus OSB para planificar la migración a microservicios.
[Gobierno de Jobs] Además del desarrollo de flujos de datos, esta iniciativa define los responsables funcionales de cada Job según dominio: Job Cliente → Ger. Clientes, Job Producto → Ger. Producto, Job Riesgo → Ger. Riesgo, Job Cobranza → Ger. Cobranza. Establece quién es owner de la calidad de datos de entrada de cada Job y el protocolo de escalamiento si un Job falla o entrega datos inconsistentes.</t>
  </si>
  <si>
    <t>Habilitar los flujos de datos para los Jobs del precálculo. Generar inventario completo de servicios del bus con dependencias para migración ordenada a microservicios.</t>
  </si>
  <si>
    <t>B1	🟢 Cuantitativo	Inventario de servicios del bus	Mapa completo de +25 servicios con dependencias para migración
B2	🟡 Cualitativo	Habilitación de Jobs	Flujos de datos listos para los 4 Jobs del precálculo</t>
  </si>
  <si>
    <t>A1	Desarrollo de flujos de datos para cada Job	Conexiones a fuentes de datos por dominio
A2	Inventario completo de servicios OSB	Cada servicio EAI con: función, dependencias, consumidores, volumetría
A3	Análisis de migración a microservicios	Priorización de servicios para migración, complejidad, riesgo
A4	Documentación de contratos actuales	Contratos de entrada/salida de cada servicio EAI
A5	Definición de responsables funcionales por Job	Asignar owner por dominio: Job Cliente → Ger. Clientes, Job Producto → Ger. Producto, Job Riesgo → Ger. Riesgo, Job Cobranza → Ger. Cobranza.</t>
  </si>
  <si>
    <t>E1	Flujos de datos para 4 Jobs implementados
E2	Inventario de servicios OSB documentado
E3	Plan de migración priorizado a microservicios</t>
  </si>
  <si>
    <t>INI-12, INI-20</t>
  </si>
  <si>
    <t>INI-20 (Precálculo), INI-29 (Gobierno E2E)
🔗 DEPENDENCIAS CRUZADAS (Téc→Func): INI-12 (Gobierno funcional para definir owners de jobs).</t>
  </si>
  <si>
    <t>INI-20 (Precálculo), INI-29 (Gobierno E2E)</t>
  </si>
  <si>
    <t>TI Desarrollo, TI Arquitectura, Ger. Riesgo, Ger. Producto</t>
  </si>
  <si>
    <r>
      <rPr>
        <b/>
        <sz val="8"/>
        <color rgb="FFC00000"/>
        <rFont val="Segoe UI"/>
        <family val="2"/>
      </rPr>
      <t>🔴 Riesgo</t>
    </r>
    <r>
      <rPr>
        <b/>
        <sz val="8"/>
        <color rgb="FF8E44AD"/>
        <rFont val="Segoe UI"/>
        <family val="2"/>
      </rPr>
      <t xml:space="preserve"> </t>
    </r>
    <r>
      <rPr>
        <b/>
        <sz val="8"/>
        <color rgb="FF00B050"/>
        <rFont val="Segoe UI"/>
        <family val="2"/>
      </rPr>
      <t>🟢 Producto</t>
    </r>
    <r>
      <rPr>
        <b/>
        <sz val="8"/>
        <color rgb="FF8E44AD"/>
        <rFont val="Segoe UI"/>
        <family val="2"/>
      </rPr>
      <t>🟣 Cliente</t>
    </r>
  </si>
  <si>
    <t>Generación de Oferta (Transversal)</t>
  </si>
  <si>
    <t>Jobs alimentan datos para generación de oferta pero impactan todo el flujo</t>
  </si>
  <si>
    <t>Jobs Batch / Control-M</t>
  </si>
  <si>
    <t>MenuAndes, FlexCube, Siebel, Base Aprobados</t>
  </si>
  <si>
    <t>Batch + Datos Maestros</t>
  </si>
  <si>
    <t>Datos (ETL/Batch)</t>
  </si>
  <si>
    <t>OCI Santiago (Control-M)</t>
  </si>
  <si>
    <t>Jobs EIM, GITU, Control-M, shells FlexCube</t>
  </si>
  <si>
    <t>🟡 DELIMITADA + AMPLIADA: Inventario servicios bus + flujos datos Jobs + gobierno de responsables por Job/dominio. Prerrequisito de INI-24 y INI-20.</t>
  </si>
  <si>
    <t>Delimitada + Ampliada</t>
  </si>
  <si>
    <t>INI-24</t>
  </si>
  <si>
    <t>Integracion de orquestador con Circuit Breaker</t>
  </si>
  <si>
    <t>Implementación de Apache Camel en GCP como nuevo orquestador con circuit breaker nativo. Convive con OSB en TO-BE 2, elimina OSB en TO-BE 3. Incluye catálogo SOA de servicios migrados.
[Owner eliminación OSB] Esta iniciativa es responsable de la migración lógica de TODOS los servicios fuera de OSB hacia Camel. Incluye desconexión de los +25 servicios EAI que hoy pasan por el bus. La desconexión es progresiva: TO-BE 2 (convivencia Camel+OSB) → TO-BE 3 (OSB apagado). El decomiso de la infraestructura física (WebLogic, licencias) es responsabilidad de INI-32.</t>
  </si>
  <si>
    <t>Reemplazar Oracle Service Bus por orquestador open-source sin vendor lock-in. Implementar circuit breaker para evitar cascada de fallos. Habilitar migración progresiva de servicios.</t>
  </si>
  <si>
    <t>B1	🟢 Cuantitativo	Eliminación vendor lock-in Oracle	Camel es open-source, portable entre nubes
B2	🟢 Cuantitativo	Circuit breaker nativo	Evita cascada de fallos que hoy degrada todo el sistema
B3	🟡 Cualitativo	Migración progresiva	Convivencia con OSB permite migrar sin big-bang</t>
  </si>
  <si>
    <t>A1	Diseño de arquitectura Camel en GCP	Topología, circuit breaker, retry, dead letter queue
A2	Desarrollo de rutas Camel para primeros servicios	Migrar servicios prioritarios del bus
A3	Configuración de convivencia Camel + OSB	Proxy y routing para que ambos coexistan
A4	Catálogo SOA de servicios migrados	Documentar cada servicio en el catálogo
A5	(TO-BE 3) Apagado definitivo de OSB	Migración completa y decomisión de OSB</t>
  </si>
  <si>
    <t>E1	Arquitectura Camel documentada
E2	Rutas Camel desplegadas en GCP
E3	Configuración de convivencia
E4	Catálogo SOA de servicios
E5	Acta de decomisión de OSB</t>
  </si>
  <si>
    <t>ALT-02, INI-12, INI-13, INI-23</t>
  </si>
  <si>
    <t>INI-23 (inventario servicios bus), INI-29 (Gobierno E2E), Decisión de ALT-02 (Camel vs OIC vs Workflows)
🔗 DEPENDENCIAS CRUZADAS (Téc→Func): INI-13 (Resiliencia operativa — define qué flujos de excepción).</t>
  </si>
  <si>
    <t>INI-23 (inventario servicios bus), INI-29 (Gobierno E2E), Decisión de ALT-02 (Camel vs OIC vs Workflows)</t>
  </si>
  <si>
    <t>TI Arquitectura, TI Desarrollo, Sonda (infra)</t>
  </si>
  <si>
    <r>
      <rPr>
        <b/>
        <sz val="8"/>
        <color rgb="FFC00000"/>
        <rFont val="Segoe UI"/>
        <family val="2"/>
      </rPr>
      <t>🔴 Riesgo</t>
    </r>
    <r>
      <rPr>
        <b/>
        <sz val="8"/>
        <color rgb="FF8E44AD"/>
        <rFont val="Segoe UI"/>
        <family val="2"/>
      </rPr>
      <t xml:space="preserve"> </t>
    </r>
    <r>
      <rPr>
        <b/>
        <sz val="8"/>
        <color rgb="FF00B050"/>
        <rFont val="Segoe UI"/>
        <family val="2"/>
      </rPr>
      <t>🟢 Producto</t>
    </r>
    <r>
      <rPr>
        <b/>
        <sz val="8"/>
        <color rgb="FF8E44AD"/>
        <rFont val="Segoe UI"/>
        <family val="2"/>
      </rPr>
      <t xml:space="preserve">🟣 Cliente </t>
    </r>
    <r>
      <rPr>
        <b/>
        <sz val="8"/>
        <color rgb="FFFFC000"/>
        <rFont val="Segoe UI"/>
        <family val="2"/>
      </rPr>
      <t>🟡 Canal</t>
    </r>
  </si>
  <si>
    <t>Transversal (Infraestructura)</t>
  </si>
  <si>
    <t>Orquestador con circuit breaker aplica a toda la cadena</t>
  </si>
  <si>
    <t>Apache Camel (nuevo orquestador)</t>
  </si>
  <si>
    <t>OSB (reemplazado), todos los servicios EAI</t>
  </si>
  <si>
    <t>Integración / Orquestación</t>
  </si>
  <si>
    <t>Integración (Orquestador)</t>
  </si>
  <si>
    <t>GCP (nuevo)</t>
  </si>
  <si>
    <t>Apache Camel, Circuit Breaker, OSB (apagar)</t>
  </si>
  <si>
    <t>14 servicios EAI migrados a Camel</t>
  </si>
  <si>
    <t>🟡 OWNER OSB: Responsable de migración lógica de servicios fuera de OSB → Camel. Desconexión progresiva +25 servicios. Decomiso infra → INI-32.</t>
  </si>
  <si>
    <t>Owner OSB declarado</t>
  </si>
  <si>
    <t>INI-25</t>
  </si>
  <si>
    <t>Caché Redis + Auditoría (Redis → Job → BD Corporativa)</t>
  </si>
  <si>
    <t>Capa de caché con Redis para reducir invocaciones repetidas al bus. Pipeline de auditoría: Redis → Job → BD Corporativa para registrar toda transacción con fines de auditoría y prevención de fraude.</t>
  </si>
  <si>
    <t>Reducir latencia y carga sobre servicios EAI mediante caché. Crear trail de auditoría completo E2E. Habilitar detección de fraude con datos en BD Corporativa.</t>
  </si>
  <si>
    <t>B1	🟢 Cuantitativo	Reducción de invocaciones EAI	Caché elimina llamadas repetidas al bus (~14 por evaluación)
B2	🟢 Cuantitativo	Trail de auditoría completo	Toda transacción queda registrada
B3	🟡 Cualitativo	Capacidades anti-fraude	Datos centralizados permiten detección de patrones</t>
  </si>
  <si>
    <t>A1	Diseño de capa de caché Redis	Políticas de TTL, invalidación, warm-up
A2	Desarrollo de pipeline Redis → Job → BD Corporativa	Flujo asíncrono de auditoría
A3	Integración con flujo de crédito	Caché en puntos de alta invocación
A4	Dashboard de auditoría	Visualización de transacciones registradas</t>
  </si>
  <si>
    <t>E1	Capa de caché Redis desplegada
E2	Pipeline de auditoría operativo
E3	Dashboard de auditoría
E4	Documentación de políticas de caché</t>
  </si>
  <si>
    <t>INI-07, INI-08, INI-24, INI-34</t>
  </si>
  <si>
    <t>Acceso a Redis (GCP)</t>
  </si>
  <si>
    <t>INI-24 (Camel), INI-34 (BD Corporativa), Acceso a Redis (GCP)
🔗 DEPENDENCIAS CRUZADAS (Téc→Func): INI-07 (Retomabilidad — define qué estado persistir); INI-08 (Racionalización — define qué cachear).</t>
  </si>
  <si>
    <t>INI-24 (Camel), INI-34 (BD Corporativa), Acceso a Redis (GCP)</t>
  </si>
  <si>
    <t>TI Desarrollo, TI Arquitectura, Ger. Riesgo (fraude)</t>
  </si>
  <si>
    <r>
      <t>📊 Negocio</t>
    </r>
    <r>
      <rPr>
        <b/>
        <sz val="8"/>
        <color rgb="FFC0392B"/>
        <rFont val="Segoe UI"/>
        <family val="2"/>
      </rPr>
      <t>🔴 Riesgo</t>
    </r>
  </si>
  <si>
    <t>Caché Redis + auditoría aplica a todos los servicios</t>
  </si>
  <si>
    <t>Redis / GCP Caché</t>
  </si>
  <si>
    <t>OSB, FICO, FlexCube</t>
  </si>
  <si>
    <t>Integración / Performance</t>
  </si>
  <si>
    <t>Datos (Caché) + Auditoría</t>
  </si>
  <si>
    <t>Redis, BD Corporativa (auditoría/fraude)</t>
  </si>
  <si>
    <t>INI-27</t>
  </si>
  <si>
    <t>Observabilidad y Base para Cuadro de Mando Integral</t>
  </si>
  <si>
    <t>Levantamiento del estado actual de observabilidad de los +25 sistemas. Definición de métricas clave (disponibilidad, latencia, error rate, throughput) por componente. Diseño de la base del cuadro de mando integral E2E.
[Delimitación de Scope] Esta iniciativa cubre SOLO el diseño y definición de métricas. La implementación de dashboards y trazas es parte de INI-28.</t>
  </si>
  <si>
    <t>Obtener visibilidad E2E del proceso de crédito que hoy no existe. Definir baseline de métricas para medir progreso de cada TO-BE. Identificar puntos ciegos en monitoreo actual.</t>
  </si>
  <si>
    <t>B1	🟢 Cuantitativo	Visibilidad E2E	Por primera vez se tendrá visión completa del flujo de crédito
B2	🟢 Cuantitativo	Baseline medible	Métricas AS-IS para comparar con cada TO-BE
B3	🟡 Cualitativo	Detección temprana	Alertas antes de que el usuario sienta la degradación</t>
  </si>
  <si>
    <t>A1	Levantamiento de herramientas de monitoreo actuales	Qué se monitorea hoy, con qué herramientas, qué gaps hay
A2	Definición de métricas clave por componente	KPIs técnicos y de negocio por cada sistema
A3	Diseño del cuadro de mando integral	Dashboard que integre métricas de todos los componentes
A4	Implementación de alertas básicas	Reglas de alerta para métricas críticas</t>
  </si>
  <si>
    <t>E1	Diagnóstico de observabilidad actual
E2	Catálogo de métricas clave por componente
E3	Diseño del cuadro de mando integral
E4	Alertas básicas configuradas</t>
  </si>
  <si>
    <t>INI-29 (Gobierno E2E para definir qué medir)
🔗 DEPENDENCIAS CRUZADAS (Téc→Func): INI-12 (Gobierno funcional para definir qué medir).</t>
  </si>
  <si>
    <t>INI-29 (Gobierno E2E para definir qué medir)</t>
  </si>
  <si>
    <t>TI Operaciones, TI Arquitectura</t>
  </si>
  <si>
    <t>Transversal (Observabilidad)</t>
  </si>
  <si>
    <t>Cuadro de mando integral aplica a todo el flujo</t>
  </si>
  <si>
    <t>Cloud Monitoring, Looker</t>
  </si>
  <si>
    <t>Observabilidad</t>
  </si>
  <si>
    <t>Observabilidad / Monitoreo</t>
  </si>
  <si>
    <t>Cloud Monitoring, Dashboards, alertas</t>
  </si>
  <si>
    <t>🟡 DELIMITADA: Solo diseño y definición de métricas. No incluye implementación de dashboards (→ INI-28).</t>
  </si>
  <si>
    <t>Delimitada</t>
  </si>
  <si>
    <t>INI-28</t>
  </si>
  <si>
    <t>Trazabilidad E2E con OpenTelemetry + Dashboards + CMDB</t>
  </si>
  <si>
    <t>Implementación de OpenTelemetry para trazas distribuidas E2E cubriendo GCP y legacy (OCI/on-premise). Dashboards operativos y de negocio. Actualización de CMDB con inventario real de servicios.</t>
  </si>
  <si>
    <t>Lograr trazabilidad completa desde solicitud hasta respuesta cruzando todos los componentes. Crear dashboards accionables. Mantener CMDB actualizada.</t>
  </si>
  <si>
    <t>B1	🟢 Cuantitativo	Trazabilidad E2E	Cada solicitud se puede rastrear de punta a punta
B2	🟢 Cuantitativo	CMDB actualizada	Inventario real de servicios como fuente de verdad
B3	🟡 Cualitativo	Diagnóstico rápido	Tiempo de resolución de incidentes reducido significativamente</t>
  </si>
  <si>
    <t>A1	Implementación de OpenTelemetry en componentes GCP	Instrumentación de microservicios y Camel
A2	Instrumentación de componentes legacy	Agentes/exporters para OCI, OSB, Siebel
A3	Desarrollo de dashboards operativos y de negocio	Grafana/Cloud Monitoring con métricas técnicas y funcionales
A4	Actualización de CMDB	Inventario completo de servicios, dependencias, owners</t>
  </si>
  <si>
    <t>E1	OpenTelemetry desplegado en GCP y legacy
E2	Dashboards operativos y de negocio
E3	CMDB actualizada
E4	Documentación de instrumentación</t>
  </si>
  <si>
    <t>INI-09, INI-24, INI-27</t>
  </si>
  <si>
    <t>INI-27 (Observabilidad base), INI-24 (Camel para instrumentar)
🔗 DEPENDENCIAS CRUZADAS (Téc→Func): INI-09 (Define las 5 etapas y eventos a trazar).
[Dependencia] INI-27 (diseño métricas y cuadro de mando) debe completarse antes de implementar OpenTelemetry.</t>
  </si>
  <si>
    <t>INI-27 (Observabilidad base), INI-24 (Camel para instrumentar)</t>
  </si>
  <si>
    <t>TI Operaciones, TI Desarrollo, TI Arquitectura</t>
  </si>
  <si>
    <t>Trazabilidad E2E aplica a todas las etapas</t>
  </si>
  <si>
    <t>OpenTelemetry / GCP Observability</t>
  </si>
  <si>
    <t>Todos los componentes</t>
  </si>
  <si>
    <t>Observabilidad / Trazabilidad</t>
  </si>
  <si>
    <t>OpenTelemetry, CMDB, trace E2E</t>
  </si>
  <si>
    <t>🟡 DEPENDENCIA: Requiere INI-27 completada. Implementación OpenTelemetry + dashboards + CMDB.</t>
  </si>
  <si>
    <t>INI-30</t>
  </si>
  <si>
    <t>Fortalecer gestion de Proveedores (FICO, Oracle, Sonda, Experian)</t>
  </si>
  <si>
    <t>Negociación y formalización de SLAs con proveedores críticos: FICO (motor), Oracle (BD, bus), Sonda (operación), Experian (bureau). Definición de penalties, tiempos de respuesta y escalamiento.</t>
  </si>
  <si>
    <t>Establecer compromisos contractuales de disponibilidad y tiempos de respuesta. Crear mecanismo formal de escalamiento. Reducir dependencia de proveedores sin gobierno.</t>
  </si>
  <si>
    <t>B1	🟢 Cuantitativo	SLAs medibles	Compromisos de disponibilidad con penalties contractuales
B2	🟡 Cualitativo	Escalamiento formal	Ruta clara cuando un proveedor incumple</t>
  </si>
  <si>
    <t>A1	Revisión de contratos actuales	Identificar qué SLAs existen y cuáles faltan
A2	Definición de métricas de SLA por proveedor	Disponibilidad, tiempo de respuesta, tiempo de resolución
A3	Negociación con proveedores	Nuevos SLAs con penalties y escalamiento
A4	Implementación de monitoreo de SLAs	Dashboard de cumplimiento de SLAs</t>
  </si>
  <si>
    <t>E1	Diagnóstico de SLAs actuales
E2	Contratos de SLA firmados por proveedor
E3	Dashboard de monitoreo de SLAs</t>
  </si>
  <si>
    <t>INI-12, INI-13</t>
  </si>
  <si>
    <t>Área Legal/Contratos</t>
  </si>
  <si>
    <t>INI-29 (Gobierno E2E), Área Legal/Contratos
🔗 DEPENDENCIAS CRUZADAS (Téc→Func): INI-12 (Gobierno funcional); INI-13 (Resiliencia — define SLAs esperados).</t>
  </si>
  <si>
    <t>INI-29 (Gobierno E2E), Área Legal/Contratos</t>
  </si>
  <si>
    <t>Ger. TI, Área Legal, Proveedores</t>
  </si>
  <si>
    <t>Gestión de proveedores transversal</t>
  </si>
  <si>
    <t>FICO (proveedor), Oracle, Sonda</t>
  </si>
  <si>
    <t>Gobierno (proveedores)</t>
  </si>
  <si>
    <t>SLAs FICO, Oracle, Sonda, Experian</t>
  </si>
  <si>
    <t>🟢 OK: Separada. CON QUIÉN escalar (SLAs proveedores).</t>
  </si>
  <si>
    <t>INI-31</t>
  </si>
  <si>
    <t>Fortalecer Runbooks + DRP + Backups de Personas Clave</t>
  </si>
  <si>
    <t>Documentación de runbooks operativos para cada componente crítico. Plan de recuperación ante desastres (DRP). Formación de backups para personas clave con conocimiento exclusivo (bus factor).</t>
  </si>
  <si>
    <t>Eliminar dependencia de personas únicas (bus factor). Documentar procedimientos de operación y recuperación. Garantizar continuidad operativa.</t>
  </si>
  <si>
    <t>B1	🟡 Cualitativo	Eliminación bus factor	Conocimiento documentado, no en cabezas individuales
B2	🟡 Cualitativo	Continuidad operativa	DRP probado para escenarios de falla catastrófica
B3	🟢 Cuantitativo	Reducción tiempo resolución	Runbooks aceleran resolución de incidentes</t>
  </si>
  <si>
    <t>A1	Identificación de personas clave y conocimiento exclusivo	Mapear quién sabe qué y qué pasa si no está
A2	Desarrollo de runbooks por componente	Procedimientos paso a paso para operación y recuperación
A3	Diseño y prueba de DRP	Plan de recuperación ante desastres con simulacro
A4	Programa de formación de backups	Capacitación cruzada para eliminar dependencias</t>
  </si>
  <si>
    <t>E1	Mapa de personas clave y conocimiento crítico
E2	Runbooks por componente
E3	DRP documentado y probado
E4	Plan de capacitación cruzada</t>
  </si>
  <si>
    <t>INI-12, INI-13, INI-27</t>
  </si>
  <si>
    <t>INI-29 (Gobierno E2E), INI-27 (Observabilidad para alimentar runbooks)
🔗 DEPENDENCIAS CRUZADAS (Téc→Func): INI-13 (Resiliencia operativa — define flujos de excepción a documentar).</t>
  </si>
  <si>
    <t>INI-29 (Gobierno E2E), INI-27 (Observabilidad para alimentar runbooks)</t>
  </si>
  <si>
    <t>TI Operaciones, Sonda, RRHH (capacitación)</t>
  </si>
  <si>
    <t>Runbooks, DRP, backup personas clave</t>
  </si>
  <si>
    <t>Gobierno (contingencia)</t>
  </si>
  <si>
    <t>Runbooks, DRP, backups personas clave</t>
  </si>
  <si>
    <t>🟢 OK: Separada. CÓMO hacerlo (runbooks + DRP + backups personas).</t>
  </si>
  <si>
    <t>INI-32</t>
  </si>
  <si>
    <t>Modernización Tecnológica (Oracle, WebLogic, Java) + Decomiso Infraestructura Legacy</t>
  </si>
  <si>
    <t>Actualización de componentes obsoletos: Oracle 12 → versión soportada, WebLogic → containerizado, Java 8 → versión LTS. Migración de servicios legacy a stack moderno en GCP.
[Delimitación OSB — Post análisis duplicidad] La migración lógica de servicios fuera de OSB y la orquestación con Camel es responsabilidad de INI-24. INI-32 se encarga del decomiso de la INFRAESTRUCTURA donde corre OSB (WebLogic, licencias Oracle) una vez que INI-24 haya completado la migración. Secuencia: INI-23 (inventario) → INI-24 (Camel + migración lógica) → INI-32 (apagado infra Oracle/WebLogic asociada a OSB).</t>
  </si>
  <si>
    <t>Romper la cadena de obsolescencia tecnológica. Habilitar escalabilidad horizontal. Reducir costos de licenciamiento Oracle. (Priorizar esta modernizacion, que tengo que actualizar primero, etc)</t>
  </si>
  <si>
    <t>B1	🟢 Cuantitativo	Reducción costos licenciamiento	Menos componentes Oracle = menos licencias
B2	🟢 Cuantitativo	Escalabilidad	Containers permiten escalar horizontalmente
B3	🟡 Cualitativo	Soporte vigente	Todos los componentes con soporte del fabricante</t>
  </si>
  <si>
    <t>A1	Inventario de componentes obsoletos	Versión actual, soporte, riesgo, alternativa
A2	Plan de actualización priorizado	Orden de migración por criticidad y complejidad
A3	Migración de Oracle 12 + WebLogic	Actualizar o reemplazar por alternativas containerizadas
A4	Migración de Java 8	Actualizar aplicaciones a Java LTS vigente
A5	Eliminación definitiva de OSB	Post-migración completa a Camel</t>
  </si>
  <si>
    <t>E1	Inventario de obsolescencia con riesgos
E2	Plan de modernización priorizado
E3	Componentes actualizados/reemplazados
E4	Acta de decomisión de componentes legacy</t>
  </si>
  <si>
    <t>INI-12, INI-24, INI-35</t>
  </si>
  <si>
    <t>INI-24 (Camel operativo para eliminar OSB), INI-35 (Microservicios para absorber servicios del bus)
🔗 DEPENDENCIAS CRUZADAS (Téc→Func): INI-12 (Gobierno funcional para coordinar eliminación obsolescencia).</t>
  </si>
  <si>
    <t>INI-24 (Camel operativo para eliminar OSB), INI-35 (Microservicios para absorber servicios del bus)</t>
  </si>
  <si>
    <t>TI Infraestructura, TI Arquitectura, Sonda, Oracle</t>
  </si>
  <si>
    <t>Modernización tecnológica aplica a todo</t>
  </si>
  <si>
    <t>Infraestructura OCI/OKE</t>
  </si>
  <si>
    <t>FICO, OSB, WebLogic, Oracle DB</t>
  </si>
  <si>
    <t>Infraestructura</t>
  </si>
  <si>
    <t>WebLogic 11g/10.3.6, Oracle DB 12, pods OKE</t>
  </si>
  <si>
    <t>🟡 DELIMITADA: Se retira 'Eliminación de OSB' como entregable lógico (→INI-24). Mantiene decomiso INFRAESTRUCTURA (WebLogic, licencias) post-migración Camel.</t>
  </si>
  <si>
    <t>Delimitada (sin OSB lógico)</t>
  </si>
  <si>
    <t>INI-33</t>
  </si>
  <si>
    <t>Herramienta de Parametrización de Reglas de Negocio + IA</t>
  </si>
  <si>
    <t>[Componente Técnico — ex INI-33] Capa de parametrización para que gerencias de negocio modifiquen reglas del motor sin TI. Integración de IA para análisis de impacto ante cambios de reglas. Habilitada por separación de Jobs (INI-20).
[Componente Herramienta — ex INI-45] INI-11 define QUÉ reglas parametrizar. INI-33 propone +IA. Ninguna aborda LA HERRAMIENTA para que Riesgo modifique reglas sin TI. Hoy cualquier cambio requiere Ventiv/FICO + deploy + ventana.</t>
  </si>
  <si>
    <t>Reducir time-to-market de cambios de reglas de semanas a horas. Empoderar a negocio para gestionar sus reglas. Usar IA para predecir impacto de cambios.</t>
  </si>
  <si>
    <t>B1	🟢 Cuantitativo	Time-to-market de reglas	De semanas a horas para cambios de parámetros
B2	🟡 Cualitativo	Empoderamiento de negocio	Riesgo y Producto cambian sus reglas sin depender de TI
B3	🟡 Cualitativo	Análisis de impacto con IA	Gemini predice efecto de cambios antes de implementar</t>
  </si>
  <si>
    <t>A1	Diseño de capa de parametrización	Interfaz para que negocio modifique reglas
A2	Integración con Jobs separados	Cada Job expone sus parámetros configurables
A3	Integración con Gemini	IA para análisis de impacto de cambios de reglas
A4	Desarrollo de interfaz de usuario	UI para gerencias de negocio
A5	Capacitación a usuarios de negocio	Entrenamiento en uso de parametrización</t>
  </si>
  <si>
    <t>E1	Capa de parametrización implementada
E2	Integración con Gemini operativa
E3	UI de gestión de reglas para negocio
E4	Manual y capacitación de usuarios</t>
  </si>
  <si>
    <t>INI-01, INI-11, INI-18, INI-20</t>
  </si>
  <si>
    <t>Acceso a Vertex AI/Gemini</t>
  </si>
  <si>
    <t>INI-20 (Jobs separados), INI-18 (FICO v7 estable), INI-19 (v4 apagada), Acceso a Vertex AI/Gemini
🔗 DEPENDENCIAS CRUZADAS (Téc→Func): INI-11 (Desacople lógica negocio — capa funcional de reglas); INI-01 (Pre-evaluación — reglas FICO a parametrizar).</t>
  </si>
  <si>
    <t>INI-20 (Jobs separados), INI-18 (FICO v7 estable), INI-19 (v4 apagada), Acceso a Vertex AI/Gemini</t>
  </si>
  <si>
    <t>Ger. Riesgo, Ger. Producto, TI Desarrollo, TI Datos (IA)</t>
  </si>
  <si>
    <t>Parametrización reglas + IA → reglas del motor en evaluación</t>
  </si>
  <si>
    <t>Blaze Advisor, IA/ML</t>
  </si>
  <si>
    <t>Motor de Decisión + IA</t>
  </si>
  <si>
    <t>OCI/OKE + GCP (IA)</t>
  </si>
  <si>
    <t>Blaze Advisor v7, Vertex AI (futuro), 120+ reglas</t>
  </si>
  <si>
    <t>✅ FUSIÓN: Absorbe INI-45 (Herramienta parametrización). Ahora cubre capa técnica + herramienta + IA. INI-45 eliminada. Depende de INI-11.</t>
  </si>
  <si>
    <t>Fusionada (absorbió INI-45)</t>
  </si>
  <si>
    <t>INI-34</t>
  </si>
  <si>
    <t>Base Corporativa (MDM) — Maestro Único de Datos</t>
  </si>
  <si>
    <t>BD Corporativa en GCP que absorbe Base de Aprobados, MenuAndes y otras fuentes dispersas. Modelo MDM como fuente única de verdad. Empieza en TO-BE 2, se consolida en TO-BE 3.</t>
  </si>
  <si>
    <t>Eliminar dispersión de datos entre múltiples fuentes. Crear maestro de datos único para clientes, productos y riesgo. Habilitar gobierno de datos con linaje y calidad.</t>
  </si>
  <si>
    <t>B1	🟢 Cuantitativo	Fuente única de verdad	Un solo lugar para datos de cliente, producto, riesgo
B2	🟢 Cuantitativo	Eliminación de inconsistencias	No más datos distintos entre Base Aprobados, MenuAndes, etc.
B3	🟡 Cualitativo	Gobierno de datos	Linaje, calidad y ownership formalizados</t>
  </si>
  <si>
    <t>A1	Inventario de fuentes de datos dispersas	Base Aprobados, MenuAndes, FlexCube, etc.
A2	Diseño del modelo MDM	Entidades maestras, relaciones, reglas de calidad
A3	Migración de Base de Aprobados	ETL + validación de datos migrados
A4	Absorción de MenuAndes	Consolidación en BD Corporativa
A5	Implementación de gobierno de datos	Linaje, calidad, ownership, métricas</t>
  </si>
  <si>
    <t>E1	Inventario de fuentes de datos
E2	Modelo MDM documentado
E3	BD Corporativa desplegada en GCP
E4	Migración de Base de Aprobados completada
E5	Framework de gobierno de datos</t>
  </si>
  <si>
    <t>ALT-01, INI-12</t>
  </si>
  <si>
    <t>Decisión de , Acceso a GCP (CloudSQL/Spanner)</t>
  </si>
  <si>
    <t>INI-29 (Gobierno E2E), Decisión de ALT-01 (Base de Aprobados), Acceso a GCP (CloudSQL/Spanner)
🔗 DEPENDENCIAS CRUZADAS (Téc→Func): INI-12 (Gobierno funcional para MDM).</t>
  </si>
  <si>
    <t>INI-29 (Gobierno E2E), Decisión de ALT-01 (Base de Aprobados), Acceso a GCP (CloudSQL/Spanner)</t>
  </si>
  <si>
    <t>TI Datos, Ger. Riesgo, Ger. Clientes, Ger. Producto</t>
  </si>
  <si>
    <r>
      <t>🔴 Riesgo</t>
    </r>
    <r>
      <rPr>
        <b/>
        <sz val="8"/>
        <color rgb="FFD68910"/>
        <rFont val="Segoe UI"/>
        <family val="2"/>
      </rPr>
      <t xml:space="preserve"> </t>
    </r>
    <r>
      <rPr>
        <b/>
        <sz val="8"/>
        <color rgb="FF00B050"/>
        <rFont val="Segoe UI"/>
        <family val="2"/>
      </rPr>
      <t xml:space="preserve">🟢 Producto </t>
    </r>
    <r>
      <rPr>
        <b/>
        <sz val="8"/>
        <color theme="7" tint="-0.249977111117893"/>
        <rFont val="Segoe UI"/>
        <family val="2"/>
      </rPr>
      <t>🟣 Cliente</t>
    </r>
  </si>
  <si>
    <t>MDM alimenta datos maestros para todo el flujo, concentrado al inicio</t>
  </si>
  <si>
    <t>MenuAndes → BD Corporativa (MDM)</t>
  </si>
  <si>
    <t>FlexCube, Siebel, Base Aprobados</t>
  </si>
  <si>
    <t>Datos Maestros (MDM)</t>
  </si>
  <si>
    <t>Datos (Maestro)</t>
  </si>
  <si>
    <t>OCI → GCP (migración)</t>
  </si>
  <si>
    <t>MenuAndes DB, BD Corporativa (nueva), FlexCube, Siebel</t>
  </si>
  <si>
    <t>INI-35</t>
  </si>
  <si>
    <t>Microservicios por Dominio (ms-cliente, ms-producto, ms-riesgo, ms-cobranza)</t>
  </si>
  <si>
    <t>4 microservicios en GCP: ms-cliente 🟣 (EAI-074, 106, 110, 105, 080), ms-producto 🟢 (EAI-005, 122, 055), ms-riesgo 🔴 (EAI-003, 004, 138), ms-cobranza 🟡 (EAI-079). Cada uno absorbe servicios EAI del bus.</t>
  </si>
  <si>
    <t>Descomponer el monolito del bus en microservicios por dominio con ownership por gerencia. Permitir despliegue y escalamiento independiente. Eliminar dependencia de OSB.</t>
  </si>
  <si>
    <t>B1	🟢 Cuantitativo	Despliegue independiente	Cada microservicio se despliega sin afectar a los demás
B2	🟢 Cuantitativo	Escalamiento por dominio	Se escala solo el dominio que lo necesita
B3	🟡 Cualitativo	Ownership claro	Cada gerencia es dueña de su microservicio</t>
  </si>
  <si>
    <t>A1	Diseño de arquitectura de microservicios	4 MS por dominio, contratos, comunicación
A2	Desarrollo de ms-cliente	Absorbe EAI-074, 106, 110, 105, 080
A3	Desarrollo de ms-producto	Absorbe EAI-005, 122, 055
A4	Desarrollo de ms-riesgo	Absorbe EAI-003, 004, 138
A5	Desarrollo de ms-cobranza	Absorbe EAI-079
A6	Migración de consumidores del bus a microservicios	Redirigir tráfico progresivamente</t>
  </si>
  <si>
    <t>E1	Arquitectura de microservicios documentada
E2	4 microservicios desplegados en GCP
E3	Contratos API documentados por MS
E4	Plan de migración de consumidores del bus
E5	Reporte de pruebas de carga por MS</t>
  </si>
  <si>
    <t>INI-12, INI-23, INI-24</t>
  </si>
  <si>
    <t>INI-24 (Camel como orquestador), INI-23 (inventario servicios bus), INI-29 (Gobierno E2E)
🔗 DEPENDENCIAS CRUZADAS (Téc→Func): INI-12 (Gobierno funcional — define dominios y owners).</t>
  </si>
  <si>
    <t>INI-24 (Camel como orquestador), INI-23 (inventario servicios bus), INI-29 (Gobierno E2E)</t>
  </si>
  <si>
    <t>TI Desarrollo, TI Arquitectura, Ger. Clientes, Ger. Producto, Ger. Riesgo, Ger. Cobranza</t>
  </si>
  <si>
    <t>Transversal (Arquitectura)</t>
  </si>
  <si>
    <t>Microservicios por dominio aplican a todo el flujo</t>
  </si>
  <si>
    <t>OSB (reemplazado), FICO, FlexCube, MenuAndes</t>
  </si>
  <si>
    <t>ms-cliente, ms-producto, ms-riesgo, ms-cobranza</t>
  </si>
  <si>
    <t>EAI-074,106,110,105,080 (cliente), EAI-005,122,055 (producto), EAI-003,004,138 (riesgo), EAI-079 (cobranza)</t>
  </si>
  <si>
    <t>INI-36</t>
  </si>
  <si>
    <t>Observabilidad Operativa del Motor FICO (Estabilización AS-IS)</t>
  </si>
  <si>
    <t>Paquete de mejoras de observabilidad sobre el motor FICO On Premise y sus componentes activos (Kafka, Ignite) que seguirán operando durante TO-BE 1 y TO-BE 2 (mínimo 12-18 meses). Agrupa 7 ARIs despriorizadas que, en conjunto, eliminan la operación a ciegas del motor: habilitar GC logs en producción (ARI-01), alertas automáticas en Kafka ante pérdida de consumidores (ARI-02), corregir health check que reporta falsos OK ante errores 504 (ARI-03), desencapsular los 134.446 errores genéricos "Error Motor FICO" para exponer causas reales (ARI-04), habilitar acceso del equipo funcional a Elasticsearch/Grafana en producción (ARI-10), corregir sampling rate que monitorea el 100% de transacciones generando sobrecosto de memoria (ARI-12), y habilitar métricas de Apache Ignite para monitoreo de la caché distribuida (ARI-56). Sin estas acciones, la estabilización del TO-BE 1 se ejecutará sin capacidad diagnóstica.</t>
  </si>
  <si>
    <t>Dotar al equipo técnico y funcional de capacidad diagnóstica real sobre el motor FICO durante la transición al TO-BE. Reducir el tiempo medio de detección de incidentes (MTTD) de horas a minutos. Eliminar los 134.446 errores genéricos transformándolos en información accionable. Habilitar al equipo de negocio para monitorear el proceso sin depender de TI.</t>
  </si>
  <si>
    <t>B1	🟢 Cuantitativo	Reducción MTTD	De horas a minutos en detección de degradación del motor FICO
B2	🟢 Cuantitativo	Errores desencapsulados	134.446 errores genéricos se transforman en causas raíz accionables
B3	🟢 Cuantitativo	Reducción sobrecosto memoria	Sampling rate corregido libera recursos JVM (hoy monitorea 100%)
B4	🟡 Cualitativo	Autonomía funcional	Equipo de negocio con acceso directo a dashboards sin depender de TI
B5	🟡 Cualitativo	Base para INI-27 e INI-28	Prerequisito para observabilidad E2E y trazabilidad OpenTelemetry</t>
  </si>
  <si>
    <t>A1	Habilitar GC logs en JVM FICO producción (ARI-01)	Configurar -Xloggc con rotación en todos los nodos FICO ONP
A2	Configurar alertas Kafka (ARI-02)	Alertas automáticas ante consumer lag &gt;umbral y pérdida de consumidores
A3	Corregir health check FICO (ARI-03)	Modificar endpoint /health para reflejar estado real ante 504/timeout
A4	Desencapsular errores genéricos FICO (ARI-04)	Mapear códigos internos, exponer causa raíz en logs y dashboards
A5	Habilitar acceso funcional a Elasticsearch/Grafana (ARI-10)	Crear roles read-only, dashboards de negocio, capacitación
A6	Corregir sampling rate producción ONP (ARI-12)	Ajustar de 100% a 5-10% con muestreo representativo
A7	Habilitar métricas Apache Ignite (ARI-56)	Activar JMX/exporters para caché hits, misses, latencia, nodos activos</t>
  </si>
  <si>
    <t>E1	GC logs habilitados y rotación configurada en nodos FICO
E2	Alertas Kafka operativas con umbrales definidos
E3	Health check corregido y validado con pruebas de fallo
E4	Mapa de errores FICO desencapsulados (código → causa raíz)
E5	Roles y dashboards funcionales en Grafana/Elasticsearch
E6	Sampling rate ajustado y validado en producción
E7	Métricas Ignite visibles en dashboards operativos</t>
  </si>
  <si>
    <t>INI-12, INI-27, INI-28</t>
  </si>
  <si>
    <t>Accesos a servidores FICO ONP (producción), Acceso admin a Kafka, Acceso admin a Elasticsearch/Grafana, Acceso a configuración Apache Ignite. Complementa  e . ARIs origen: ARI-01, ARI-02, ARI-03, ARI-04, ARI-10, ARI-12, ARI-56</t>
  </si>
  <si>
    <t>Accesos a servidores FICO ONP (producción), Acceso admin a Kafka, Acceso admin a Elasticsearch/Grafana, Acceso a configuración Apache Ignite. Complementa INI-27 (Observabilidad base) e INI-28 (Trazabilidad E2E). ARIs origen: ARI-01, ARI-02, ARI-03, ARI-04, ARI-10, ARI-12, ARI-56
🔗 DEPENDENCIAS CRUZADAS (Téc→Func): INI-12 (Gobierno funcional para definir qué monitorear).</t>
  </si>
  <si>
    <t>Accesos a servidores FICO ONP (producción), Acceso admin a Kafka, Acceso admin a Elasticsearch/Grafana, Acceso a configuración Apache Ignite. Complementa INI-27 (Observabilidad base) e INI-28 (Trazabilidad E2E). ARIs origen: ARI-01, ARI-02, ARI-03, ARI-04, ARI-10, ARI-12, ARI-56</t>
  </si>
  <si>
    <t>TI Operaciones (ejecución), Sonda (infra ONP), Proveedor FICO/Ventiv (config motor), Ger. Riesgo (validación funcional)</t>
  </si>
  <si>
    <t>Técnica (desde ARIs)</t>
  </si>
  <si>
    <t>Evaluación (Observabilidad)</t>
  </si>
  <si>
    <t>Observabilidad específica del motor FICO (evaluación)</t>
  </si>
  <si>
    <t>Cloud Monitoring, Kafka</t>
  </si>
  <si>
    <t>FICO DMPS, Kafka, health check, GC logs, thread dumps</t>
  </si>
  <si>
    <t>INI-37</t>
  </si>
  <si>
    <t>Estabilización de Sincronización de Datos (MenuAndes, FlexCube, Siebel EIM)</t>
  </si>
  <si>
    <t>Paquete de correcciones a los procesos batch de sincronización de datos que hoy generan 12.493 knockouts falsos por datos inexistentes, incompletos o desincronizados entre MenuAndes, FlexCube y Siebel. Agrupa 7 ARIs despriorizadas: encadenar jobs Siebel EIM en Control-M respetando dependencias (ARI-29), implementar lógica de delta en MenuAndes para empresas (ARI-30), loteo/chunking en shells FlexCube (ARI-31), condicionar sincronización FlexCube al EOD (ARI-32), separar shells monolíticas FlexCube en etapas independientes (ARI-33), elaborar plan de desacoplamiento de MenuAndes (ARI-39), y documentar acoplamiento tabla RP_CONTAR con FlexCube (ARI-41). Esta iniciativa es el puente operativo hasta que la BD Corporativa (INI-34) absorba estas fuentes en TO-BE 2.</t>
  </si>
  <si>
    <t>Reducir los 12.493 knockouts falsos por datos desincronizados que hoy rechazan clientes con oferta válida. Estabilizar los procesos batch de carga que operan sin orden de dependencia ni control de errores. Generar el plan de desacoplamiento de MenuAndes como input directo para el diseño de la BD Corporativa (INI-34).</t>
  </si>
  <si>
    <t>B1	🟢 Cuantitativo	Reducción knockouts falsos	De 12.493 knockouts por datos a &lt;1.000 (reducción &gt;90% estimada)
B2	🟢 Cuantitativo	Recuperación de negocio	Clientes rechazados falsamente que ahora podrán acceder a crédito
B3	🟢 Cuantitativo	Reducción MTTR sincronización	Shells separadas permiten re-ejecución parcial (hoy es todo o nada)
B4	🟡 Cualitativo	Input para BD Corporativa	Plan de desacoplamiento MenuAndes = diseño base de INI-34
B5	🟡 Cualitativo	Documentación de dependencias ocultas	RP_CONTAR/FlexCube documentado para migración futura</t>
  </si>
  <si>
    <t>A1	Encadenar jobs Siebel EIM en Control-M (ARI-29)	Forzar secuencia: Empresa → Sucursal → Persona → Afiliación
A2	Implementar lógica de delta en MenuAndes (ARI-30)	Detección de cambios para procesar solo deltas vs. carga completa
A3	Implementar loteo/chunking en shells FlexCube (ARI-31)	Procesamiento por bloques para volúmenes variables sin pérdida
A4	Condicionar sincronización FlexCube al EOD (ARI-32)	Dependencia explícita con cierre de día y proceso de pagos
A5	Separar shells monolíticas FlexCube (ARI-33)	Descomponer en etapas: depuración → carga → validación (re-ejecutables)
A6	Plan de desacoplamiento MenuAndes (ARI-39)	Documentar dependencias, diseñar migración a BD Corporativa
A7	Documentar acoplamiento RP_CONTAR/FlexCube (ARI-41)	Mapear trigger + webservice + impacto en datos maestros</t>
  </si>
  <si>
    <t>E1	Jobs Siebel EIM encadenados en Control-M con secuencia correcta
E2	Lógica de delta implementada en MenuAndes para Empresas
E3	Shells FlexCube con loteo/chunking
E4	Dependencia EOD configurada en Control-M
E5	Shells FlexCube separadas en etapas independientes
E6	Plan de desacoplamiento de MenuAndes (input para INI-34)
E7	Documentación técnica de acoplamiento RP_CONTAR/FlexCube</t>
  </si>
  <si>
    <t>INI-12, INI-34</t>
  </si>
  <si>
    <t>Acceso a Control-M (orquestador batch), Acceso a MenuAndes (código fuente shells), Acceso a FlexCube (shells de sincronización), Coordinación con equipo EOD. Input directo para . ARIs origen: ARI-29, ARI-30, ARI-31, ARI-32, ARI-33, ARI-39, ARI-41</t>
  </si>
  <si>
    <t>Acceso a Control-M (orquestador batch), Acceso a MenuAndes (código fuente shells), Acceso a FlexCube (shells de sincronización), Coordinación con equipo EOD. Input directo para INI-34 (BD Corporativa MDM). ARIs origen: ARI-29, ARI-30, ARI-31, ARI-32, ARI-33, ARI-39, ARI-41
🔗 DEPENDENCIAS CRUZADAS (Téc→Func): INI-12 (Gobierno funcional para coordinar sincronización).</t>
  </si>
  <si>
    <t>Acceso a Control-M (orquestador batch), Acceso a MenuAndes (código fuente shells), Acceso a FlexCube (shells de sincronización), Coordinación con equipo EOD. Input directo para INI-34 (BD Corporativa MDM). ARIs origen: ARI-29, ARI-30, ARI-31, ARI-32, ARI-33, ARI-39, ARI-41</t>
  </si>
  <si>
    <t>TI Datos (owner), Sonda (ejecución batch), Ger. Riesgo (validación knockouts), Ger. Clientes (MenuAndes)</t>
  </si>
  <si>
    <t>🟣 Cliente, 🟢 Producto, 🔴 Riesgo</t>
  </si>
  <si>
    <t>Sincronización datos de entrada (MenuAndes, FlexCube, Siebel)</t>
  </si>
  <si>
    <t>MenuAndes, FlexCube, Siebel</t>
  </si>
  <si>
    <t>Jobs EIM, GITU, shells FlexCube, Control-M</t>
  </si>
  <si>
    <t>INI-38</t>
  </si>
  <si>
    <t>Limpieza de Deuda Técnica y Servicios Sin Valor</t>
  </si>
  <si>
    <t>Eliminación de configuraciones residuales y servicios sin valor que contaminan el monitoreo y consumen recursos innecesariamente. Agrupa 2 ARIs despriorizadas: limpiar configuración residual de Mambu dado de baja que genera 3.694 errores fantasma en el monitoreo (ARI-05), y verificar/eliminar invocaciones a servicios DUMMY (EAI-029, EAI-055, EAI-074) que consumen hilos y recursos sin aportar al flujo de crédito (ARI-06). Son quick wins de bajo esfuerzo que mejoran inmediatamente la señal/ruido del monitoreo.</t>
  </si>
  <si>
    <t>Eliminar 3.694 errores fantasma del monitoreo causados por sistema Mambu dado de baja. Liberar hilos y recursos consumidos por servicios DUMMY sin valor funcional. Mejorar ratio señal/ruido en logs y dashboards para que las alertas reales se detecten rápido.</t>
  </si>
  <si>
    <t>B1	🟢 Cuantitativo	Eliminación errores fantasma	3.694 errores Mambu eliminados del monitoreo
B2	🟢 Cuantitativo	Liberación de recursos	Hilos y CPU liberados por eliminar invocaciones DUMMY
B3	🟡 Cualitativo	Mejora señal/ruido	Dashboards muestran solo problemas reales, no residuos legacy</t>
  </si>
  <si>
    <t>A1	Limpiar configuración Mambu (ARI-05)	Eliminar js-errorRoutingMambu y referencias asociadas en config FICO
A2	Identificar servicios DUMMY activos (ARI-06)	Verificar EAI-029, EAI-055, EAI-074: consumidores, volumetría, impacto
A3	Eliminar invocaciones DUMMY	Remover llamadas desde el flujo, validar que no hay dependencias ocultas
A4	Validar en QA y producción	Pruebas de regresión post-limpieza</t>
  </si>
  <si>
    <t>E1	Configuración Mambu eliminada de FICO
E2	Análisis de servicios DUMMY con impacto documentado
E3	Invocaciones DUMMY eliminadas
E4	Reporte de pruebas de regresión post-limpieza</t>
  </si>
  <si>
    <t>INI-12, INI-23, INI-27</t>
  </si>
  <si>
    <t>Acceso a configuración FICO ONP, Acceso a configuración de flujos EAI en el bus. Complementa  e . ARIs origen: ARI-05, ARI-06</t>
  </si>
  <si>
    <t>Acceso a configuración FICO ONP, Acceso a configuración de flujos EAI en el bus. Complementa INI-23 (Análisis Servicios Bus) e INI-27 (Observabilidad). ARIs origen: ARI-05, ARI-06
🔗 DEPENDENCIAS CRUZADAS (Téc→Func): INI-12 (Gobierno funcional para aprobar eliminación de servicios).</t>
  </si>
  <si>
    <t>Acceso a configuración FICO ONP, Acceso a configuración de flujos EAI en el bus. Complementa INI-23 (Análisis Servicios Bus) e INI-27 (Observabilidad). ARIs origen: ARI-05, ARI-06</t>
  </si>
  <si>
    <t>TI Desarrollo (ejecución), Ventiv/FICO (config motor), Sonda (despliegue)</t>
  </si>
  <si>
    <t>Limpieza flujos EAI/FICO que operan en generación y evaluación</t>
  </si>
  <si>
    <t>OSB (Bus de Integración)</t>
  </si>
  <si>
    <t>FICO, servicios EAI, Siebel</t>
  </si>
  <si>
    <t>Integración</t>
  </si>
  <si>
    <t>OSB 11g, 14 servicios EAI, FICO</t>
  </si>
  <si>
    <t>14 servicios EAI (limpiar flujos redundantes)</t>
  </si>
  <si>
    <t>INI-39</t>
  </si>
  <si>
    <t>Contención de Vulnerabilidades Activas (APM Parásito + Ignite Sin Backup)</t>
  </si>
  <si>
    <t>Resolución de 3 vulnerabilidades activas que seguirán existiendo durante todo TO-BE 1 y TO-BE 2: el agente Elastic APM inactivo que genera 12,57% del tráfico HTTP del DPC con 79,9% de errores — equivalente a 309.078 conexiones/hora desperdiciadas (ARI-53 bloqueo firewall IP principal, ARI-54 bloqueo IPs adicionales con RST continuos ~30/min), y Apache Ignite configurado con 0 backups (ARI-57) donde si un nodo cae se pierden TODOS los datos de caché distribuida. Son vulnerabilidades críticas que agravan cualquier incidente de degradación del motor.</t>
  </si>
  <si>
    <t>Eliminar el 12,57% de tráfico HTTP parásito generado por el agente APM inactivo (309.078 conexiones/hora). Cortar las ~30 conexiones/minuto con RST continuo hacia IPs que ya no responden. Configurar al menos 1 backup en Ignite para evitar pérdida total de caché ante caída de un nodo.</t>
  </si>
  <si>
    <t>B1	🟢 Cuantitativo	Reducción tráfico parásito	309.078 conexiones/hora eliminadas del DPC
B2	🟢 Cuantitativo	Recursos liberados	12,57% de capacidad HTTP devuelta al tráfico productivo
B3	🟢 Cuantitativo	Resiliencia Ignite	Caída de 1 nodo no pierde datos de caché (hoy pierde 100%)
B4	🟡 Cualitativo	Reducción superficie de fallo	Menos puntos de falla en cascada durante degradación</t>
  </si>
  <si>
    <t>A1	Bloqueo firewall IP agente APM principal (ARI-53)	Regla en puertos 443 y 9243 hacia IP del agente inactivo
A2	Bloqueo firewall IPs adicionales con RST (ARI-54)	Identificar y bloquear IPs con rechazos continuos (~30/min)
A3	Validar reducción de tráfico post-bloqueo	Medición de red para confirmar eliminación de conexiones parásitas
A4	Configurar backup=1 en Apache Ignite (ARI-57)	Modificar configuración de caché para mantener 1 réplica por partición
A5	Prueba de resiliencia Ignite	Simular caída de nodo y verificar que los datos se mantienen</t>
  </si>
  <si>
    <t>E1	Reglas de firewall aplicadas y documentadas
E2	Medición de red post-bloqueo (antes/después)
E3	Configuración Ignite con backup=1
E4	Reporte de prueba de resiliencia Ignite
E5	Documentación de vulnerabilidades cerradas</t>
  </si>
  <si>
    <t>INI-12, INI-18, INI-28</t>
  </si>
  <si>
    <t>Acceso a firewall de red (equipo seguridad/Sonda), Acceso a configuración Apache Ignite, Ventana de mantenimiento para cambio Ignite (requiere reinicio de cluster). Complementa  e . ARIs origen: ARI-53, ARI-54, ARI-57</t>
  </si>
  <si>
    <t>Acceso a firewall de red (equipo seguridad/Sonda), Acceso a configuración Apache Ignite, Ventana de mantenimiento para cambio Ignite (requiere reinicio de cluster). Complementa INI-18 (FICO v7 Estabilización) e INI-28 (Trazabilidad E2E). ARIs origen: ARI-53, ARI-54, ARI-57
🔗 DEPENDENCIAS CRUZADAS (Téc→Func): INI-12 (Gobierno funcional para aprobar ventanas de mantenimiento).</t>
  </si>
  <si>
    <t>Acceso a firewall de red (equipo seguridad/Sonda), Acceso a configuración Apache Ignite, Ventana de mantenimiento para cambio Ignite (requiere reinicio de cluster). Complementa INI-18 (FICO v7 Estabilización) e INI-28 (Trazabilidad E2E). ARIs origen: ARI-53, ARI-54, ARI-57</t>
  </si>
  <si>
    <t>TI Seguridad/Redes (firewall), Sonda (infra Ignite), Ventiv/FICO (validación motor)</t>
  </si>
  <si>
    <t>Transversal (Seguridad)</t>
  </si>
  <si>
    <t>Vulnerabilidades APM + Ignite son transversales</t>
  </si>
  <si>
    <t>APM, Ignite, FICO</t>
  </si>
  <si>
    <t>Seguridad + Infraestructura</t>
  </si>
  <si>
    <t>Seguridad / Infraestructura</t>
  </si>
  <si>
    <t>OCI / OKE</t>
  </si>
  <si>
    <t>APM, Ignite, tokens OAG/Apigee, red</t>
  </si>
  <si>
    <t>INI-40</t>
  </si>
  <si>
    <t>Gobierno de Contingencia, Base Aprobados Online y Documentación de Obsolescencia</t>
  </si>
  <si>
    <t>Tres acciones habilitadoras que son prerequisitos directos de iniciativas TO-BE ya definidas: (1) Definir protocolo formal de contingencia ante caída FICO para canales digital y presencial (ARI-09) — hoy no existe procedimiento y cada caída se gestiona ad-hoc; (2) Implementar microservicio de baja en línea en Base de Aprobados para TAPP (ARI-13) — actualmente la gestión es solo batch, el canal digital no puede dar de baja registros en tiempo real; (3) Evaluar y documentar formalmente el riesgo de obsolescencia de Oracle 12 congelada por dependencia con Oracle Forms (ARI-40) — la BD lleva años sin soporte pero no se puede actualizar por Forms. Cada acción alimenta directamente una INI del roadmap principal.</t>
  </si>
  <si>
    <t>Formalizar el protocolo de contingencia FICO como prerequisito de gobernanza (INI-29 e INI-31). Habilitar gestión en tiempo real de Base de Aprobados para canal digital como puente hasta BD Corporativa (INI-34). Documentar formalmente el riesgo Oracle 12/Forms como input para el plan de modernización (INI-32).</t>
  </si>
  <si>
    <t>B1	🟡 Cualitativo	Protocolo contingencia	Procedimiento formal que hoy no existe → actuación coordinada ante caída FICO
B2	🟢 Cuantitativo	Baja online Base Aprobados	Canal digital puede gestionar registros en tiempo real (hoy solo batch)
B3	🟡 Cualitativo	Riesgo Oracle documentado	Visibilidad formal para gerencia sobre deuda técnica Oracle 12/Forms
B4	🟡 Cualitativo	Prerequisitos desbloqueados	INI-29, INI-31, INI-32 e INI-34 pueden avanzar con estos inputs</t>
  </si>
  <si>
    <t>A1	Diseñar protocolo contingencia FICO (ARI-09)	Procedimiento para canal digital (TAPP) y presencial (Siebel) ante caída motor
A2	Validar protocolo con simulacro	Ejercicio tabletop con equipos de operaciones, negocio y soporte
A3	Diseñar MS baja online Base Aprobados (ARI-13)	API para TAPP que permite dar de baja registros en tiempo real
A4	Desarrollar y desplegar MS baja online	Microservicio en GCP con endpoint REST para TAPP
A5	Documentar riesgo Oracle 12/Forms (ARI-40)	Análisis formal: versión, soporte, dependencia Forms, alternativas, costo de no actuar
A6	Presentar a gerencia para decisión	Informe ejecutivo con recomendación y opciones de migración</t>
  </si>
  <si>
    <t>E1	Protocolo de contingencia FICO documentado (digital + presencial)
E2	Resultado del simulacro tabletop
E3	MS baja online Base Aprobados desplegado
E4	API documentada para TAPP
E5	Informe de riesgo Oracle 12/Forms con recomendaciones
E6	Presentación ejecutiva para toma de decisión</t>
  </si>
  <si>
    <t>INI-12, INI-13, INI-31, INI-32, INI-34</t>
  </si>
  <si>
    <t>A1-A2: Participación de Ger. Riesgo, Ger. Digital, TI Operaciones, Sonda. A3-A4: Acceso a Base de Aprobados (esquema actual), Acceso a GCP para despliegue, API TAPP. A5-A6: Acceso a contratos Oracle, información de Forms, equipo DBA. Input para: , , , . ARIs origen: ARI-09, ARI-13, ARI-40</t>
  </si>
  <si>
    <t>A1-A2: Participación de Ger. Riesgo, Ger. Digital, TI Operaciones, Sonda. A3-A4: Acceso a Base de Aprobados (esquema actual), Acceso a GCP para despliegue, API TAPP. A5-A6: Acceso a contratos Oracle, información de Forms, equipo DBA. Input para: INI-29 (Gobierno), INI-31 (Runbooks), INI-32 (Modernización), INI-34 (BD Corporativa). ARIs origen: ARI-09, ARI-13, ARI-40
🔗 DEPENDENCIAS CRUZADAS (Téc→Func): INI-12 (Gobierno funcional); INI-13 (Resiliencia — flujos de contingencia).</t>
  </si>
  <si>
    <t>A1-A2: Participación de Ger. Riesgo, Ger. Digital, TI Operaciones, Sonda. A3-A4: Acceso a Base de Aprobados (esquema actual), Acceso a GCP para despliegue, API TAPP. A5-A6: Acceso a contratos Oracle, información de Forms, equipo DBA. Input para: INI-29 (Gobierno), INI-31 (Runbooks), INI-32 (Modernización), INI-34 (BD Corporativa). ARIs origen: ARI-09, ARI-13, ARI-40</t>
  </si>
  <si>
    <t>TI Operaciones (contingencia), TI Desarrollo (MS baja), DBA/TI Infra (Oracle), Ger. Riesgo + Ger. Digital (validación)</t>
  </si>
  <si>
    <t>🔴 Riesgo, 🟡 Canal, 🏛️ Gobierno</t>
  </si>
  <si>
    <t>Transversal (Gobierno + Contingencia)</t>
  </si>
  <si>
    <t>Base Aprobados Online + documentación obsolescencia</t>
  </si>
  <si>
    <t>Base de Aprobados</t>
  </si>
  <si>
    <t>FlexCube, Siebel, TAPP</t>
  </si>
  <si>
    <t>Datos + Contingencia</t>
  </si>
  <si>
    <t>Datos + Gobierno</t>
  </si>
  <si>
    <t>Base Aprobados DB, baja online, FlexCube (cierre)</t>
  </si>
  <si>
    <t>INI-41</t>
  </si>
  <si>
    <t>Implementar Buenas Prácticas de Ciberseguridad</t>
  </si>
  <si>
    <t>⏸️ PAUSADA — Pendiente reuniones con equipo de Ciberseguridad. Abordará gestión de identidades, tokens OAG/Apigee, cifrado, segmentación de red, hardening. Se diferencia de INI-39 (contención vulnerabilidades activas) en que esta es estratégica y de largo plazo.</t>
  </si>
  <si>
    <t>Establecer marco de ciberseguridad para ecosistema onboarding crédito alineado a ISO 27001/NIST.</t>
  </si>
  <si>
    <t>Reducción superficie de ataque, cumplimiento normativo, confianza digital</t>
  </si>
  <si>
    <t>⏸️ PAUSADA — Pendiente definición</t>
  </si>
  <si>
    <t>INI-24, INI-39</t>
  </si>
  <si>
    <t>Reuniones con equipo Ciber</t>
  </si>
  <si>
    <t>Reuniones con equipo Ciber. INI-39, INI-24</t>
  </si>
  <si>
    <t>INI-39 (contención), INI-24 (Camel), INI-22 (Apigee)</t>
  </si>
  <si>
    <t>⏸️ Pausada</t>
  </si>
  <si>
    <t>Equipo Ciberseguridad CLA, TI Seguridad/Redes</t>
  </si>
  <si>
    <t>⏸️ Por definir</t>
  </si>
  <si>
    <t>🛡️ Seguridad</t>
  </si>
  <si>
    <t>Ciberseguridad aplica a todos los componentes. Pausada hasta reuniones con ciber.</t>
  </si>
  <si>
    <t>APM, Ignite, Apigee, FICO, Camel</t>
  </si>
  <si>
    <t>Seguridad</t>
  </si>
  <si>
    <t>Seguridad / Gobierno</t>
  </si>
  <si>
    <t>⏸️ Pendiente</t>
  </si>
  <si>
    <t>⏸️ Pendiente reuniones con equipo Ciber</t>
  </si>
  <si>
    <t>INI-42</t>
  </si>
  <si>
    <t>Modernización del CRM (Siebel → Salesforce)</t>
  </si>
  <si>
    <t>Reemplazo planificado de Siebel CRM por Salesforce. Siebel hoy opera como CRM + orquestador (Svc 147) + motor segmentación. En TO-BE 2 se desacopla evalScoring y muere Svc 147. En TO-BE 3, Siebel se reemplaza completamente. Formaliza ALT-05.</t>
  </si>
  <si>
    <t>Reemplazar Siebel por plataforma CRM moderna sin restricciones contractuales/técnicas actuales.</t>
  </si>
  <si>
    <t>Eliminación costo licencia Siebel, eliminación cuello botella Svc 147, plataforma moderna, desacople orquestación</t>
  </si>
  <si>
    <t>A1	Evaluación de alternativas CRM	Analizar opciones (Salesforce, Dynamics, mantener Siebel), costos, capacidades, integración con ecosistema CLA
A2	Diseño de modelo de coexistencia Siebel+Salesforce	Definir qué funciones migran primero, cuáles conviven, y por cuánto tiempo
A3	Desacople de evalScoring de Siebel (TO-BE 2)	Extraer lógica de evaluación de scoring fuera de Siebel hacia MS Lógica Crédito (INI-21)
A4	Desarrollo de MVP Salesforce	Configurar Salesforce para funciones CRM core: gestión de clientes, seguimiento de solicitudes, reportes
A5	Migración de datos y procesos de Siebel a Salesforce	ETL de datos, mapeo de campos, validación de integridad, pruebas de paridad
A6	Cutover y apagado de Siebel	Plan de cutover con rollback, comunicación a usuarios, capacitación, monitoreo post-migración</t>
  </si>
  <si>
    <t>E1	Informe de evaluación de alternativas CRM con recomendación
E2	Diseño del modelo de coexistencia Siebel + Salesforce
E3	evalScoring desacoplado de Siebel y operativo en MS Lógica Crédito
E4	Salesforce MVP desplegado con funciones CRM core
E5	Migración completa de datos Siebel → Salesforce validada
E6	Acta de apagado de Siebel y liberación de licencias</t>
  </si>
  <si>
    <t>INI-04, INI-21, INI-24, INI-34</t>
  </si>
  <si>
    <t>INI-21 (MS Lógica Crédito), INI-04 (evalScoring), INI-24 (Camel), INI-34 (BD Corporativa)</t>
  </si>
  <si>
    <t>INI-21, INI-04, INI-24, INI-34</t>
  </si>
  <si>
    <t>Evaluación TO-BE 2 (6-12m), Implementación TO-BE 3 (12-24m)</t>
  </si>
  <si>
    <t>Ger. Comercial, TI Desarrollo, Proveedor Salesforce</t>
  </si>
  <si>
    <t>Transversal (CRM impacta todo)</t>
  </si>
  <si>
    <t>🟣 Cliente + 🟡 Canal</t>
  </si>
  <si>
    <t>Propuesta nueva</t>
  </si>
  <si>
    <t>Transversal (CRM)</t>
  </si>
  <si>
    <t>Siebel opera en todas las etapas. Su reemplazo es transversal. Formaliza ALT-05.</t>
  </si>
  <si>
    <t>Camel, FlexCube, TAPP, BD Corporativa</t>
  </si>
  <si>
    <t>Proceso de Negocio + Integración</t>
  </si>
  <si>
    <t>OCI (Siebel) → Cloud/SaaS (Salesforce)</t>
  </si>
  <si>
    <t>Siebel CRM (apagar), Salesforce (nuevo), Camel (integración), Servicio 147 (ya muerto)</t>
  </si>
  <si>
    <t>INI-43</t>
  </si>
  <si>
    <t>Ambiente de Pruebas, QA, Automatización y Datos de Prueba</t>
  </si>
  <si>
    <t>No existe ambiente de pruebas replicable ni datos sanitizados. Todas las INIs asumen testing que NO existe (FG-18). Crea capacidad QA: ambiente espejo, datos sanitizados, regresión automatizada, CI/CD.</t>
  </si>
  <si>
    <t>Establecer ambiente pruebas replicable con datos sanitizados, automatización regresión y CI/CD.</t>
  </si>
  <si>
    <t>Reducción riesgo regresión, pruebas carga reales (800+ sol/día), velocidad entrega, cumplimiento datos</t>
  </si>
  <si>
    <t>A1	Relevamiento de requerimientos de ambientes	Mapear necesidades por INI técnica: ambientes, datos, herramientas QA
A2	Diseño de arquitectura de ambiente espejo	Arquitectura replicable de producción (OCI+GCP) con datos sanitizados
A3	Generación de datos de prueba sanitizados	Framework de generación/anonimización de datos representativos del volumen real
A4	Desarrollo de suite de regresión automatizada	Casos de prueba E2E automatizados para cada servicio crítico del flujo de crédito
A5	Implementación de CI/CD para ambientes	Pipeline automatizado para deploy en ambientes de prueba (Jenkins/CloudBuild)
A6	Piloto con INIs técnicas priorizadas	Validar ambiente con INI-18, INI-24 y INI-35 como primeros usuarios</t>
  </si>
  <si>
    <t>E1	Mapa de requerimientos de ambientes por INI
E2	Arquitectura de ambiente espejo documentada y desplegada
E3	Generador de datos sanitizados operativo
E4	Suite de regresión automatizada con cobertura de servicios críticos
E5	Pipeline CI/CD configurado para ambientes de prueba
E6	Reporte de piloto con resultados y ajustes</t>
  </si>
  <si>
    <t>Acceso OCI y GCP. . Es PREREQUISITO de todas las INIs técnicas</t>
  </si>
  <si>
    <t>Acceso OCI y GCP. INI-29 (gobierno). Es PREREQUISITO de todas las INIs técnicas.</t>
  </si>
  <si>
    <t>INI-29. Prerequisito habilitador de TODAS las INIs técnicas.</t>
  </si>
  <si>
    <t>H1 (TO-BE 1, 0-6m) — arrancar en paralelo con primeras INIs</t>
  </si>
  <si>
    <t>TI QA, TI Desarrollo, TI Infraestructura</t>
  </si>
  <si>
    <t>Técnica + Funcional</t>
  </si>
  <si>
    <t>Transversal (habilita todas)</t>
  </si>
  <si>
    <t>⚙️ Infraestructura + Gobierno</t>
  </si>
  <si>
    <t>Transversal (Habilitador)</t>
  </si>
  <si>
    <t>QA/Testing es prerequisito de todas las INIs. FG-18 confirma gap.</t>
  </si>
  <si>
    <t>GCP + OCI (Infraestructura QA)</t>
  </si>
  <si>
    <t>FICO staging, FlexCube mock, Camel test, TAPP test</t>
  </si>
  <si>
    <t>Infraestructura + DevOps</t>
  </si>
  <si>
    <t>Infraestructura (Ambientes) + CI/CD</t>
  </si>
  <si>
    <t>GCP + OCI (ambientes espejo)</t>
  </si>
  <si>
    <t>Jenkins/Cloud Build, ambiente espejo OCI+GCP, generador datos sanitizados, suite regresión</t>
  </si>
  <si>
    <t>INI-44</t>
  </si>
  <si>
    <t>Implementación Progresiva de TOGAF como Marco de Arquitectura Empresarial</t>
  </si>
  <si>
    <t>Scoring TOGAF actual 1.21/5. TO-BE define evolución incremental: Ciclo 1 (proceso+owner), Ciclo 2 (SOA+catálogo+MDM), Ciclo 3 (arquitectura completa). INI-29/INI-12 cubren gobierno pero NO TOGAF como framework.</t>
  </si>
  <si>
    <t>Elevar madurez TOGAF de 1.21 a 3.0+ mediante ADM cycle, building blocks, principios y governance board.</t>
  </si>
  <si>
    <t>Madurez medible (1.21→3.0+), decisiones documentadas (ADR), catálogo servicios, gobierno arquitectónico</t>
  </si>
  <si>
    <t>A1	Constituir Architecture Board	Definir miembros, charter, cadencia y autoridad del comité de arquitectura
A2	Adaptar ciclo ADM de TOGAF a CLA	Simplificar ADM para contexto CLA: fases priorizadas, plantillas, governance gates
A3	Definir building blocks del proceso de crédito	Catalogar componentes de negocio y técnicos como building blocks reutilizables
A4	Desarrollar catálogo SOA de servicios	Inventariar y catalogar todos los servicios (EAI, microservicios, APIs) con metadata
A5	Medir madurez con scoring TOGAF	Aplicar scoring por dominio (Negocio, Datos, Aplicaciones, Tecnología) y comparar con baseline
A6	Consolidar arquitectura empresarial TO-BE	Integrar los 4 dominios TOGAF en una vista consolidada alineada a los 5 TO-BE</t>
  </si>
  <si>
    <t>E1	Charter del Architecture Board con miembros y cadencia
E2	ADM simplificado adaptado a CLA con plantillas
E3	Catálogo de building blocks (negocio + técnicos)
E4	Catálogo SOA de servicios con metadata
E5	Reportes de scoring de madurez TOGAF por dominio
E6	Vista consolidada de arquitectura empresarial TO-BE</t>
  </si>
  <si>
    <t>Complementa ambas con framework TOGAF</t>
  </si>
  <si>
    <t>INI-29 (gobierno E2E), INI-12 (gobierno TI). Complementa ambas con framework TOGAF.</t>
  </si>
  <si>
    <t>INI-29, INI-12</t>
  </si>
  <si>
    <t>H1 → H2 → H3 incremental por ciclo</t>
  </si>
  <si>
    <t>Arquitectura TI CLA, PwC, Ger. TI</t>
  </si>
  <si>
    <t>Transversal (marco arquitectura)</t>
  </si>
  <si>
    <t>🏛️ Arquitectura Empresarial</t>
  </si>
  <si>
    <t>Transversal (Gobierno + Arquitectura)</t>
  </si>
  <si>
    <t>TOGAF aplica a toda la arquitectura E2E. Scoring 1.21/5. Evolución incremental.</t>
  </si>
  <si>
    <t>Todos los componentes (catálogo building blocks)</t>
  </si>
  <si>
    <t>Gobierno (Arquitectura Empresarial)</t>
  </si>
  <si>
    <t>N/A (organizacional + repositorio)</t>
  </si>
  <si>
    <t>Architecture Board, ADM cycle, catálogo building blocks, catálogo SOA, scoring TOGAF</t>
  </si>
  <si>
    <t>INI-46</t>
  </si>
  <si>
    <t>Ajuste al Proceso de Creación de Bases de Campaña (ex-Preaprobados)</t>
  </si>
  <si>
    <t>Proceso actual (PR-05, enero 2021) es manual con múltiples handoffs: Riesgo → Inteligencia Afiliados → Digital Insight → CEOCRM → Ejecutivos. Sin SLAs, sin integración con Base Aprobados ni TAPP. INI-34/INI-40 abordan la BD, NO el proceso funcional.</t>
  </si>
  <si>
    <t>Optimizar proceso creación/distribución bases campaña: reducir handoffs, establecer SLAs, conectar con BD Corporativa y canal digital.
"Poner reglas en el borde"</t>
  </si>
  <si>
    <t>Cliente oferta aprobada normal + Cliente oferta aprobada express</t>
  </si>
  <si>
    <t>Reducción time-to-campaign, eliminación errores manuales, SLAs entre áreas, conexión canal digital</t>
  </si>
  <si>
    <t>A1	Levantar proceso AS-IS de creación de bases de campaña	Documentar el flujo actual con handoffs, tiempos, responsables y puntos de dolor
A2	Diagnosticar pain points y pérdidas operativas	Identificar cuellos de botella, errores frecuentes, tiempos muertos y falta de SLAs
A3	Diseñar proceso TO-BE con SLAs y automatización	Flujo optimizado con SLAs por etapa, integración con BD Corporativa y TAPP
A4	Integrar con BD Corporativa (INI-34) y TAPP	Conectar el proceso con la fuente única de datos y el canal digital
A5	Implementar proceso TO-BE	Desarrollar automatizaciones, validaciones y controles del nuevo flujo
A6	Piloto y ajustes	Ejecutar piloto con una campaña real, medir mejoras vs AS-IS, ajustar</t>
  </si>
  <si>
    <t>E1	Mapeo AS-IS del proceso de creación de bases de campaña
E2	Diagnóstico de pain points con métricas de impacto
E3	Diseño TO-BE con SLAs por etapa y modelo de integración
E4	Integración operativa con BD Corporativa + TAPP
E5	Proceso TO-BE implementado con automatizaciones
E6	Reporte de piloto con resultados y recomendaciones</t>
  </si>
  <si>
    <t>INI-23, INI-34, INI-40</t>
  </si>
  <si>
    <t>INI-34 (BD Corporativa), INI-40 (gobierno Base Aprobados), INI-23 (Jobs)</t>
  </si>
  <si>
    <t>INI-34, INI-40, INI-23</t>
  </si>
  <si>
    <t>H1-H2 (TO-BE 1-2, 0-12m)</t>
  </si>
  <si>
    <t>Ger. Riesgo, Inteligencia Afiliados, Digital Insight, Ger. Comercial</t>
  </si>
  <si>
    <t>🔴 Riesgo + 🟣 Cliente</t>
  </si>
  <si>
    <t>Bases campaña definen qué clientes entran al flujo y con qué oferta. Proceso PR-05 CLA.</t>
  </si>
  <si>
    <t>Base de Aprobados + BD Corporativa</t>
  </si>
  <si>
    <t>FlexCube, Siebel/Salesforce, TAPP, CEOCRM</t>
  </si>
  <si>
    <t>Datos + Proceso Operativo</t>
  </si>
  <si>
    <t>Proceso de Negocio + Datos</t>
  </si>
  <si>
    <t>Base Aprobados, BD Corporativa (INI-34), CEOCRM, Jobs EIM, canal digital TAPP</t>
  </si>
  <si>
    <t>INI-47</t>
  </si>
  <si>
    <t>Modificación de Canales y Ajustes a Integraciones por INIs Técnicas</t>
  </si>
  <si>
    <t>Múltiples INIs técnicas generan cambios que requieren ajustes en canales (TAPP, Siebel/Salesforce, Apigee): INI-21, INI-24, INI-34, INI-35, INI-42. Catch-all del delta de canal que cada INI técnica genera como efecto cascada.</t>
  </si>
  <si>
    <t>Centralizar y gestionar todos los ajustes en canales consecuencia de INIs técnicas del roadmap.</t>
  </si>
  <si>
    <t>Gestión centralizada cambios canal, reducción riesgo regresión, planificación ventanas cambio, reducción re-trabajo</t>
  </si>
  <si>
    <t>A1	Inventariar ajustes de canal requeridos por INIs técnicas	Recopilar delta de cambios en canales generados por INI-21, INI-24, INI-34, INI-35, INI-42
A2	Plan consolidado de ajustes de canal	Priorizar y secuenciar ajustes en un plan único coordinado con cada INI origen
A3	Ajustes en TAPP (canal digital)	Modificaciones en flujos TAPP derivadas de nuevos microservicios y orquestador
A4	Ajustes en Apigee (API Gateway)	Actualizar rutas, contratos y rate limiting en Apigee por cambios en backend
A5	Ajustes en canal presencial (SVP/Sucursales)	Adaptar flujos presenciales a los nuevos servicios y orquestación
A6	Pruebas E2E de canales ajustados	Validar que todos los canales operan correctamente con los nuevos componentes</t>
  </si>
  <si>
    <t>E1	Inventario de ajustes de canal por INI origen
E2	Plan consolidado de ajustes de canal priorizado
E3	TAPP ajustado y validado con nuevos servicios
E4	Apigee actualizado (rutas, contratos, rate limiting)
E5	Canal presencial adaptado a nueva arquitectura
E6	Reporte de pruebas E2E de canales con evidencias</t>
  </si>
  <si>
    <t>INI-21, INI-24, INI-34, INI-35, INI-42</t>
  </si>
  <si>
    <t>Se ejecuta en paralelo</t>
  </si>
  <si>
    <t>INI-21, INI-24, INI-34, INI-35, INI-42. Se ejecuta en paralelo.</t>
  </si>
  <si>
    <t>INI-21, INI-24, INI-34, INI-35, INI-42, INI-06, INI-07, INI-14</t>
  </si>
  <si>
    <t>H1-H2-H3 continuo, en paralelo con cada INI técnica</t>
  </si>
  <si>
    <t>TI Desarrollo Canal, TI Integración, Ger. Comercial</t>
  </si>
  <si>
    <t>Transversal (canales)</t>
  </si>
  <si>
    <t>Transversal (Canal)</t>
  </si>
  <si>
    <t>Canales atraviesan todas las etapas. Ajustes son efecto cascada de INIs técnicas.</t>
  </si>
  <si>
    <t>TAPP (Canal Digital) + Apigee</t>
  </si>
  <si>
    <t>Camel, MS Lógica Crédito, BD Corporativa, Salesforce</t>
  </si>
  <si>
    <t>Canal (Frontend + API Gateway) + Integración</t>
  </si>
  <si>
    <t>GCP (TAPP, Apigee) + SaaS (Salesforce)</t>
  </si>
  <si>
    <t>TAPP BFF, TAPP frontend, Apigee rutas/políticas, canal presencial, integraciones Camel</t>
  </si>
  <si>
    <t>INI-48</t>
  </si>
  <si>
    <t>Reenganche Automático por Simulación Abandonada</t>
  </si>
  <si>
    <t>Capturar simulaciones abandonadas en TAPP, persistir contexto, y al D+1 enviar oferta proactiva con rango aproximado del monto simulado. El afiliado ingresa directo al flujo TAPP_APB (cliente aprobado) sin re-evaluación FICO.</t>
  </si>
  <si>
    <t>Recuperar abandonos post-simulación, mejorar conversión digital, reducir carga FICO, ofrecer experiencia proactiva personalizada</t>
  </si>
  <si>
    <t>+8-15% conversión sobre abandonos, 0 llamadas FICO extra, journey de 7-10 pasos a 3-4, data de intención comercial</t>
  </si>
  <si>
    <t>A1	Diseño evento de abandono (captura RUT, monto, plazo, cuota, timestamp, canal)
A2	Persistencia contexto en Redis/BD (ms-abandono-captura en GCP)
A3	Job de Reenganche diario (07:00 AM D+1 — valida oferta vigente, calcula rango ±10%, genera oferta proactiva)
A4	Motor de notificaciones (push TAPP + email personalizado con deep link)
A5	Flujo de aceptación express (ingreso directo a TAPP_APB, saltando simulación y evaluación)
A6	Reglas de negocio de reenganche (exclusiones, vigencia 72h, máx 1 por ciclo, horario envío)
A7	Dashboard de seguimiento (BigQuery/Looker: abandonos, reenganches, conversión, monto recuperado)
A8	Testing E2E + piloto controlado (5% de abandonos, 2 semanas, criterio go/no-go &gt;5% conversión)</t>
  </si>
  <si>
    <t>E1	Especificación funcional evento de abandono + modelo de datos
E2	Microservicio ms-abandono-captura desplegado en GCP
E3	Job reenganche desplegado (GCP Cloud Scheduler / Control-M)
E4	Plantillas de notificación (push + email) + integración API notificaciones
E5	Flujo express en TAPP + pantalla de oferta proactiva + lógica de derivación
E6	Documento de reglas de negocio aprobado por Ger. Riesgo + Ger. Comercial
E7	Dashboard operativo + reportería semanal automatizada
E8	Informe piloto con métricas + decisión go/no-go para rollout</t>
  </si>
  <si>
    <t>INI-07, INI-09, INI-12, INI-20, INI-22, INI-24, INI-25, INI-34, INI-43</t>
  </si>
  <si>
    <t>Definición de reglas de negocio de reenganche aprobadas por Ger. Riesgo + Ger. Comercial (exclusiones, vigencia 72h, máx 1 reenganche por ciclo, horario de envío). Acceso a APIs de notificaciones push (TAPP) y email. Revisión Legal/Compliance: consentimiento para contacto proactivo y uso de data de simulación abandonada. Acceso a GCP (Cloud Run, Cloud Scheduler, Redis, BigQuery). Deep link habilitado en TAPP para flujo de aceptación express.</t>
  </si>
  <si>
    <t>-</t>
  </si>
  <si>
    <t>Ger. Comercial (owner), Ger. Riesgo (co-owner), TI/Arq, Equipo TAPP, Datos/BI, Legal, QA</t>
  </si>
  <si>
    <t>Conversión + Retención + Experiencia Cliente</t>
  </si>
  <si>
    <t>Post-Simulación / Pre-Contratación (reenganche D+1)</t>
  </si>
  <si>
    <t>🟡 Canal + 🔴 Riesgo + 🟣 Cliente</t>
  </si>
  <si>
    <t>Nueva (complementa hallazgos H3 y H6)</t>
  </si>
  <si>
    <t xml:space="preserve">	TO-BE 2 (Ciclo 2: Convivencia Camel + Bus)</t>
  </si>
  <si>
    <t>Ciclo 2 — H2 (6-12 meses)</t>
  </si>
  <si>
    <t xml:space="preserve"> Mapeo	Ataca brecha de conversión digital (3.6% vs 11%) usando infra de INI-08/INI-18</t>
  </si>
  <si>
    <t>TAPP (App Digital)</t>
  </si>
  <si>
    <t>Base de Aprobados / BD Corporativa</t>
  </si>
  <si>
    <t>GCP (Cloud Run + Cloud Scheduler + Redis + BigQuery)</t>
  </si>
  <si>
    <t>Servicios + Datos + Presentación</t>
  </si>
  <si>
    <t xml:space="preserve">	GCP + TAPP</t>
  </si>
  <si>
    <t>TAPP, Redis, Base Aprobados/BD Corp, Notificaciones, Apigee, BigQuery, Control-M/Cloud Scheduler, Siebel/Salesforce</t>
  </si>
  <si>
    <t>INI-49</t>
  </si>
  <si>
    <t>Evaluación UX: Paquetización de Oferta vs Experiencia Actual</t>
  </si>
  <si>
    <t>Se ejecuta una evaluación UX completa (research + prototipado + test A/B) para medir y comparar cómo percibe el afiliado tres variantes de presentación de oferta de crédito:
Variante A (Control / AS-IS): Oferta simple actual — monto, cuota, tasa, plazo — sin desglose de productos asociados (seguro, comisiones).
Variante B (Paquete integrado): Oferta como 'paquete completo' donde se muestra crédito + seguro de desgravamen + seguro de cesantía + productos asociados como un todo, con precio total mensual visible y badge 'todo incluido'.
Variante C (Desglose transparente): Oferta desglosada donde el afiliado ve cada componente por separado — cuota crédito puro ($X), cuota seguro desgravamen ($Y), comisión ($Z), total ($T) — con opción de toggle on/off para productos opcionales (lo que la normativa permita).
El resultado es un informe con recomendación fundamentada de qué modelo de presentación maximiza conversión + comprensión + NPS, con prototipos de alta fidelidad validados y listos para implementar en TAPP y SVP.
El foco es entender: ¿cuál prefiere el afiliado? ¿cuál lo frustra menos? ¿cuál genera mayor confianza y menor abandono?</t>
  </si>
  <si>
    <t>O1: Determinar la variante de presentación de oferta (simple / paquete / desglose) que maximiza la tasa de conversión en el canal digital y presencial, validada con test A/B (n≥500 por variante).
O2: Alcanzar un nivel de comprensión ≥85% entre los afiliados sobre qué incluye la oferta que están aceptando (crédito + seguros + comisiones), medido con test de usabilidad.
O3: Entregar prototipos de alta fidelidad (Figma) validados y listos para implementar por el equipo TAPP, con la variante ganadora definida y aprobada por Ger. Producto, Ger. Comercial y Ger. Riesgo.
O4: Reducir la tasa de abandono en la pantalla de oferta al presentar información completa y comprensible desde el primer momento (upfront), eliminando la sorpresa por 'costos ocultos' en etapas tardías.
O5: Reducir los reclamos post-venta asociados a 'no sabía qué incluía mi crédito'.
O6: Cerrar la brecha de experiencia entre canal digital y presencial: lograr que la oferta en TAPP sea autoexplicativa sin necesidad de ejecutivo.
O7: Habilitar decisiones de diseño de producto/canal basadas en evidencia UX cuantitativa y cualitativa.</t>
  </si>
  <si>
    <t>B1: Comprensión de la oferta — Afiliado entiende el 100% de la oferta en pantalla de simulación.
B2: Conversión en etapa de oferta — Información completa upfront → decisión informada → menos abandono tardío.
B3: Reclamos post-venta — Reducción de reclamos por transparencia desde la oferta.
B4: Cross-sell de productos asociados — Presentación como beneficio del paquete → afiliado valora y acepta.
B5: Paridad canal digital vs presencial — UX digital autoexplicativa, reduce brecha canal.
B6: Decisiones basadas en evidencia — Research UX con datos reales para decidir cómo presentar oferta.
B7: Cumplimiento normativo (SERNAC/CMF) — Oferta 100% transparente alineada a normativa.</t>
  </si>
  <si>
    <t>A1: Benchmark + Análisis heurístico AS-IS — Auditoría UX de la experiencia actual de presentación de oferta en TAPP y SVP. Benchmark con 3-5 referentes (bancos/cajas/fintech).
A2: Research cualitativo con afiliados — Entrevistas en profundidad (8-12 afiliados, mix digital + presencial). ¿Qué entienden que incluye su crédito? ¿Saben que pagan seguro? ¿Qué los frustra?
A3: Diseño de 3 variantes de oferta — Prototipos alta fidelidad para Variante A (Control), B (Paquete integrado), C (Desglose transparente). Cada una para TAPP (móvil) y SVP (web).
A4: Test de usabilidad + comprensión — Test con 12-15 afiliados (4-5 por variante). Métricas: comprensión, tiempo en pantalla, confianza percibida, preferencia declarada.
A5: Test A/B cuantitativo en TAPP — 2 variantes ganadoras como feature flags, 2-4 semanas. Medir: avance post-oferta, abandono, contratación completa, reclamo D+30. Min 500 sesiones por variante.
A6: Análisis de impacto en reclamos y post-venta — Cruce con datos reclamos SERNAC/internos últimos 12 meses. Revisión con Legal/Cumplimiento.
A7: Informe final + recomendación + prototipos definitivos — Consolidar hallazgos A1-A6, variante recomendada, quick wins de copy/layout, roadmap de implementación UX.
A8: Presentación a gerencias + decisión go/no-go — Workshop 2h con Ger. Producto, Comercial, Canales, Riesgo, Cumplimiento. Decisión formal de variante a implementar.</t>
  </si>
  <si>
    <t>E1: Informe de auditoría heurística + benchmark competitivo (3-5 referentes).
E2: Informe de research cualitativo: insights, personas, pain points, verbatims clave.
E3: 3 prototipos alta fidelidad (Figma/Adobe XD): Variante A + B + C para TAPP y SVP.
E4: Informe de test de usabilidad: métricas por variante, matriz de preferencia, recomendación preliminar.
E5: Informe de test A/B cuantitativo: métricas de conversión, significancia estadística, variante ganadora.
E6: Análisis de reclamos + estimación de reducción + checklist de cumplimiento normativo.
E7: Informe ejecutivo final + prototipos definitivos + roadmap de implementación UX.
E8: Minuta de decisión firmada + variante aprobada + plan de acción.</t>
  </si>
  <si>
    <t>INI-09 🟡 (Funnel + Trazabilidad: datos de abandono en pantalla de oferta). INI-12 🟡 (Gobierno Funcional: foro para aprobar variante ganadora). INI-03 🟡 (Fast Track Express: entender cómo se presenta oferta Express vs Normal). Nota: Todos deseables, ninguno bloqueante. Puede arrancar en H1 sin dependencias técnicas.</t>
  </si>
  <si>
    <t>Depende de INI-12 para formalizar la decisión de variante ganadora. Se apalanca en INI-09 para datos de abandono por nodo. Se integra con INI-03 (cómo se presenta oferta Express). Alimenta a INI-02 (Oferta Dinámica: cómo se muestra al cliente), INI-14 (Módulo TAPP: UX del entry point) e INI-06 (Derivación: información previa a derivar).
🔗 DEPENDENCIAS CRUZADAS (Func↔Téc): INI-27 (Observabilidad para medir impacto post-implementación).</t>
  </si>
  <si>
    <t>Ger. Producto (owner funcional: composición de oferta), Ger. Canales Digitales (co-owner: analytics TAPP + feature flags), UX Researcher (ejecución: research + diseño + test), Data/BI (análisis cuantitativo test A/B + reclamos), Ger. Comercial (viabilidad comercial + cross-sell), Ger. Riesgo (validación: seguro obligatorio vs opcional), Legal/Cumplimiento (checklist CMF/SERNAC), Equipo TAPP (implementación feature flags + ajustes pantalla)</t>
  </si>
  <si>
    <t>Simulación → Presentación de Oferta</t>
  </si>
  <si>
    <t>🟡 Canal
🟢 Producto
🟣 Cliente</t>
  </si>
  <si>
    <t>TO-BE 1 (Ciclo 1: Estabilización)</t>
  </si>
  <si>
    <t>Ciclo 1 — H1 (0-6 meses)</t>
  </si>
  <si>
    <t>El diagnóstico PwC identifica que la conversión digital es significativamente menor que la presencial (TAPP_NOR 3.6% vs TAPP_APB 11%). Una hipótesis no explorada es si la forma de presentar la oferta (simple vs paquetizada vs desglosada) impacta en la decisión del afiliado. En sucursal, el ejecutivo explica la composición de la oferta; en digital, nadie lo hace. Esta iniciativa cierra esa brecha con evidencia UX. Bajo costo, alto impacto potencial, ejecutable en H1 sin dependencias técnicas bloqueantes.</t>
  </si>
  <si>
    <t>TAPP (App Digital) — Pantalla de presentación de oferta</t>
  </si>
  <si>
    <t>SVP (Sucursal Virtual Presencial) — Pantalla de oferta en escritorio ejecutivo</t>
  </si>
  <si>
    <t>Frontend (TAPP mobile + SVP web) + Analytics (Google Analytics / Firebase)</t>
  </si>
  <si>
    <t>Capa de Presentación (UI/UX) — No impacta servicios ni datos en fase research</t>
  </si>
  <si>
    <t>TAPP (frontend móvil) + SVP (frontend web) + Figma (prototipado) + Feature flags + Analytics</t>
  </si>
  <si>
    <t>TAPP (pantalla de oferta, flujo de simulación) · SVP (pantalla de oferta ejecutivo) · Analytics TAPP (eventos de pantalla) · Feature flags (variantes A/B) · Capa de presentación de oferta (datos mostrados: monto, cuota, tasa, seguros, comisiones)</t>
  </si>
  <si>
    <t>No impacta servicios EAI en fase research. Post-implementación: podría requerir EAI-005 (condiciones producto), EAI-122 (tasas/comisiones) si pantalla necesita desglose que hoy no consume.</t>
  </si>
  <si>
    <t>NO duplica INI-02 (Oferta Dinámica): INI-02 genera la oferta; INI-49 evalúa CÓMO se presenta al afiliado. NO duplica INI-03 (Fast Track Express): INI-03 define el flujo; INI-49 evalúa la UX de la pantalla de oferta. NO duplica INI-14 (Módulo TAPP sin banner): INI-14 define el entry point; INI-49 evalúa la presentación dentro. Complementa INI-09 (Funnel): INI-09 mide dónde abandona; INI-49 investiga POR QUÉ abandona en pantalla de oferta.</t>
  </si>
  <si>
    <t>Row Labels</t>
  </si>
  <si>
    <t>Sum of Costo estimado en USD</t>
  </si>
  <si>
    <t>(blank)</t>
  </si>
  <si>
    <t>Grand Total</t>
  </si>
  <si>
    <t>Actividad</t>
  </si>
  <si>
    <t>Objetivo y resultado esperado X ACTIVIDAD</t>
  </si>
  <si>
    <t>Entregable X ACTIVIDAD</t>
  </si>
  <si>
    <t>Áreas involucradas X ACTIVIDAD</t>
  </si>
  <si>
    <t>Tipo Actividad</t>
  </si>
  <si>
    <t>Justificación Tipo</t>
  </si>
  <si>
    <t>Plazo X ACTIVIDAD</t>
  </si>
  <si>
    <t>Equipo de trabajo X ACTIVIDAD</t>
  </si>
  <si>
    <t>Plazo (semanas)</t>
  </si>
  <si>
    <t>FTEs equivalentes</t>
  </si>
  <si>
    <t>Costo estimado (UF)</t>
  </si>
  <si>
    <t>A1: Definir el segmento “cliente sin oferta” y condiciones de entrada al nodo (qué casos aplican y cuáles no).</t>
  </si>
  <si>
    <t>Objetivo: Definir el segmento “cliente sin oferta” y condiciones de entrada al nodo (qué casos aplican y cuáles no).</t>
  </si>
  <si>
    <t>Documento de alcance y requerimientos del nodo de pre-evaluación (incluye criterios “sin oferta”). | Diseño del flujo (diagrama del nodo FICO + derivación a INI-02 + simulación).</t>
  </si>
  <si>
    <t>Ger. Riesgo, Ger. Comercial/Producto, Canales (TAPP/SVP), Operaciones</t>
  </si>
  <si>
    <t>Define reglas, políticas, criterios o diseño de proceso/journey</t>
  </si>
  <si>
    <t>1-2 semanas</t>
  </si>
  <si>
    <t>1 Analista Funcional (100%) | 1 Especialista Riesgo (50%) | 1 Especialista Producto/Comercial (25%)</t>
  </si>
  <si>
    <t>A2: Definir reglas de decisión FICO (umbral(es), códigos de rechazo, vigencia, tratamiento de “sin score / error / data insuficiente”).</t>
  </si>
  <si>
    <t>Objetivo: Definir reglas de decisión FICO (umbral(es), códigos de rechazo, vigencia, tratamiento de “sin score / error / data insuficiente”).</t>
  </si>
  <si>
    <t>Política/parametría FICO: umbrales, tratamiento de excepciones (“no hit”, error, data incompleta) y motivos. | Monitoreo/KPIs (tasa de rechazo FICO, latencia, errores, derivación a INI-02, ahorro estimado de llamadas) + alertas.</t>
  </si>
  <si>
    <t>Proveedor FICO/Ventiv, TI Integración/Arquitectura, Sonda (infra/OCI-OKE)</t>
  </si>
  <si>
    <t>Implementa código, APIs, servicios, infraestructura o integración</t>
  </si>
  <si>
    <t>2-3 semanas</t>
  </si>
  <si>
    <t>1 Desarrollador Backend (100%) | 1 QA/Tester (25%) | 1 Especialista FICO/Blaze (50%) | 1 Coordinador Proveedor Sonda (25%) | 1 Coordinador Proveedor FICO/Ventiv (25%)</t>
  </si>
  <si>
    <t>A3: Diseñar el flujo de orquestación: FICO → (rechazo y fin) / (aprobación y derivación a INI-02 + simulación).</t>
  </si>
  <si>
    <t>Objetivo: Diseñar el flujo de orquestación: FICO → (rechazo y fin) / (aprobación y derivación a INI-02 + simulación).</t>
  </si>
  <si>
    <t>Diseño del flujo (diagrama del nodo FICO + derivación a INI-02 + simulación). | Implementación del nodo en el orquestador/flujo (configuración por ambiente + feature flags si aplica).</t>
  </si>
  <si>
    <t>2-4 semanas</t>
  </si>
  <si>
    <t>1 Analista Funcional (100%) | 1 Product Owner / Líder Negocio (50%) | 1 Especialista Riesgo (50%) | 1 Especialista Producto/Comercial (25%)</t>
  </si>
  <si>
    <t>A4: Implementar integración técnica con FICO (API, seguridad, timeouts, retries) + manejo de contingencias/fallback.</t>
  </si>
  <si>
    <t>Objetivo: Implementar integración técnica con FICO (API, seguridad, timeouts, retries) + manejo de contingencias/fallback.</t>
  </si>
  <si>
    <t>Especificación de integración/API con FICO (contratos, seguridad, timeouts, reintentos). | Plan y evidencias de pruebas (unitarias, integración, E2E con INI-02, performance/contingencia) + UAT firmado.</t>
  </si>
  <si>
    <t>5-8 semanas</t>
  </si>
  <si>
    <t>1 PM/Scrum Master (25%) | 1 Arquitecto de Soluciones (50%) | 2 Desarrolladores Backend (100%) | 1 QA/Tester (50%) | 1 Especialista FICO/Blaze (50%) | 1 Especialista Ciberseguridad (25%) | 1 Coordinador Proveedor Sonda (25%) | 1 Coordinador Proveedor FICO/Ventiv (25%)</t>
  </si>
  <si>
    <t>A5: Implementar mensajería y motivos para canal (rechazo inmediato vs continúa) y registrar auditoría/logs.</t>
  </si>
  <si>
    <t>Objetivo: Implementar mensajería y motivos para canal (rechazo inmediato vs continúa) y registrar auditoría/logs.</t>
  </si>
  <si>
    <t>Catálogo de motivos/códigos para fin inmediato y para derivación (mensajes por canal). | Implementación del nodo en el orquestador/flujo (configuración por ambiente + feature flags si aplica).</t>
  </si>
  <si>
    <t>3-5 semanas</t>
  </si>
  <si>
    <t>1 Arquitecto de Soluciones (25%) | 1 Desarrollador Backend (100%) | 1 Desarrollador Frontend (50%) | 1 QA/Tester (50%) | 1 Especialista FICO/Blaze (50%) | 1 Coordinador Proveedor Sonda (25%) | 1 Coordinador Proveedor FICO/Ventiv (25%)</t>
  </si>
  <si>
    <t>A6: Ejecutar pruebas y piloto (funcionales, performance, caída de servicios) y calibrar umbrales si corresponde.</t>
  </si>
  <si>
    <t>Objetivo: Ejecutar pruebas y piloto (funcionales, performance, caída de servicios) y calibrar umbrales si corresponde.</t>
  </si>
  <si>
    <t>Plan y evidencias de pruebas (unitarias, integración, E2E con INI-02, performance/contingencia) + UAT firmado. | Política/parametría FICO: umbrales, tratamiento de excepciones (“no hit”, error, data incompleta) y motivos.</t>
  </si>
  <si>
    <t>Pruebas E2E, piloto, calibración, socialización o gobierno cruzado</t>
  </si>
  <si>
    <t>1 Líder/PM de Iniciativa (50%) | 1 Analista Funcional (50%) | 1 Desarrollador Backend (50%) | 1 QA/Tester (50%) | 1 QA Lead (50%) | Usuarios de Negocio para UAT (25%)</t>
  </si>
  <si>
    <t>A1: Levantar flujo actual y definir casos de uso para clientes sin pre-aprobación (ofertar / pedir datos / no ofertar).</t>
  </si>
  <si>
    <t>Objetivo: Levantar flujo actual y definir casos de uso para clientes sin pre-aprobación (ofertar / pedir datos / no ofertar).</t>
  </si>
  <si>
    <t>Diseño de proceso/journey objetivo (sin pre-aprobación → oferta dinámica → siguiente paso). | Catálogo de motivos/códigos (no oferta, rechazo, derivación) y mensajes para canal.</t>
  </si>
  <si>
    <t>Ger. Comercial/Producto, Ger. Riesgo (políticas/umbrales), Canales (TAPP/SVP/Sucursal)</t>
  </si>
  <si>
    <t>A2: Definir políticas y reglas de elegibilidad + parámetros de oferta (monto/plazo/tasa/condiciones) y “motivos de no oferta”.</t>
  </si>
  <si>
    <t>Objetivo: Definir políticas y reglas de elegibilidad + parámetros de oferta (monto/plazo/tasa/condiciones) y “motivos de no oferta”.</t>
  </si>
  <si>
    <t>Reglas de elegibilidad + matriz/estrategia de oferta (parámetros por segmento/score) y versionado. | Catálogo de motivos/códigos (no oferta, rechazo, derivación) y mensajes para canal.</t>
  </si>
  <si>
    <t>A3: Diseñar el modelo de generación de oferta (segmentación por riesgo/score, matriz de oferta, 1 vs N ofertas).</t>
  </si>
  <si>
    <t>Objetivo: Diseñar el modelo de generación de oferta (segmentación por riesgo/score, matriz de oferta, 1 vs N ofertas).</t>
  </si>
  <si>
    <t>Diseño de proceso/journey objetivo (sin pre-aprobación → oferta dinámica → siguiente paso). | Reglas de elegibilidad + matriz/estrategia de oferta (parámetros por segmento/score) y versionado.</t>
  </si>
  <si>
    <t>A4: Diseñar e implementar el servicio/API e integraciones (pre-evaluación, datos internos/externos, pricing, motor si aplica) + auditoría.</t>
  </si>
  <si>
    <t>Objetivo: Diseñar e implementar el servicio/API e integraciones (pre-evaluación, datos internos/externos, pricing, motor si aplica) + auditoría.</t>
  </si>
  <si>
    <t>Especificación de API (OpenAPI) + arquitectura e integraciones + lineamientos de auditoría/logging. | Implementación del servicio (código + configuración por ambiente / feature flags).</t>
  </si>
  <si>
    <t>TI Arquitectura/Integración, Proveedor FICO/Ventiv (si participa en decisión/scoring)</t>
  </si>
  <si>
    <t>1 PM/Scrum Master (25%) | 1 Arquitecto de Soluciones (50%) | 2 Desarrolladores Backend (100%) | 1 QA/Tester (50%) | 1 Especialista FICO/Blaze (50%) | 1 Coordinador Proveedor FICO/Ventiv (25%)</t>
  </si>
  <si>
    <t>A5: Ejecutar pruebas y calibración (funcionales, integración, performance) con histórico/simulación y ajustes de parámetros.</t>
  </si>
  <si>
    <t>Objetivo: Ejecutar pruebas y calibración (funcionales, integración, performance) con histórico/simulación y ajustes de parámetros.</t>
  </si>
  <si>
    <t>Plan y evidencias de pruebas (unitarias, integración, E2E, performance) + UAT firmado. | Especificación de API (OpenAPI) + arquitectura e integraciones + lineamientos de auditoría/logging.</t>
  </si>
  <si>
    <t>1 Líder/PM de Iniciativa (50%) | 1 Analista Funcional (50%) | 1 QA Lead (50%) | Usuarios de Negocio para UAT (25%)</t>
  </si>
  <si>
    <t>A6: Implementar piloto y despliegue gradual por canal/segmento, con monitoreo de KPIs y mejora continua.</t>
  </si>
  <si>
    <t>Objetivo: Implementar piloto y despliegue gradual por canal/segmento, con monitoreo de KPIs y mejora continua.</t>
  </si>
  <si>
    <t>Tablero de monitoreo (conversión, % con oferta, aceptación, latencia/errores, mora temprana si aplica) + alertas. | Implementación del servicio (código + configuración por ambiente / feature flags).</t>
  </si>
  <si>
    <t>A1: Definir criterios “Aprobado Express” (elegibilidad, exclusiones, vigencia, límites por monto/plazo).</t>
  </si>
  <si>
    <t>Objetivo: Definir criterios “Aprobado Express” (elegibilidad, exclusiones, vigencia, límites por monto/plazo).</t>
  </si>
  <si>
    <t>Documento de política Express: criterios, exclusiones, vigencia, límites y gobierno de cambios. | Definición del paquete de oferta y reglas de simulación (parámetros, vigencia, restricciones).</t>
  </si>
  <si>
    <t>Ger. Riesgo, Ger. Comercial/Producto, Canales Digitales (TAPP/SVP), Compliance/Seguridad</t>
  </si>
  <si>
    <t>1 Analista Funcional (100%) | 1 Especialista Riesgo (50%) | 1 Especialista Producto/Comercial (25%) | 1 Compliance/Legal (25%)</t>
  </si>
  <si>
    <t>A2: Diseñar el flujo Fast Track y puntos de decisión (Express vs derivación a flujo estándar).</t>
  </si>
  <si>
    <t>Objetivo: Diseñar el flujo Fast Track y puntos de decisión (Express vs derivación a flujo estándar).</t>
  </si>
  <si>
    <t>Diseño del proceso Fast Track (diagrama de flujo + derivación a estándar + mensajes/motivos). | Documento de política Express: criterios, exclusiones, vigencia, límites y gobierno de cambios.</t>
  </si>
  <si>
    <t>A3: Acordar e implementar controles mínimos (KYC/AML, identidad, antifraude, políticas internas) para permitir el bypass.</t>
  </si>
  <si>
    <t>Objetivo: Acordar e implementar controles mínimos (KYC/AML, identidad, antifraude, políticas internas) para permitir el bypass.</t>
  </si>
  <si>
    <t>Implementación (servicios, configuración de reglas, feature flags). | Matriz de controles mínimos (riesgo/fraude/compliance) + “stop conditions”.</t>
  </si>
  <si>
    <t>TI Arquitectura/Integración, Proveedor FICO/Ventiv (para definir bypass/control mínimo), Compliance/Seguridad</t>
  </si>
  <si>
    <t>1 Arquitecto de Soluciones (25%) | 1 Desarrollador Backend (100%) | 1 QA/Tester (50%) | 1 Especialista FICO/Blaze (50%) | 1 Coordinador Proveedor FICO/Ventiv (25%)</t>
  </si>
  <si>
    <t>A4: Definir e implementar paquete de oferta + simulación (condiciones, vigencia, validaciones de límites).</t>
  </si>
  <si>
    <t>Objetivo: Definir e implementar paquete de oferta + simulación (condiciones, vigencia, validaciones de límites).</t>
  </si>
  <si>
    <t>Definición del paquete de oferta y reglas de simulación (parámetros, vigencia, restricciones). | Implementación (servicios, configuración de reglas, feature flags).</t>
  </si>
  <si>
    <t>A5: Implementar servicios/APIs e integraciones (canales, data comportamiento, KYC/AML, documental, curse) + manejo de errores/fallback.</t>
  </si>
  <si>
    <t>Objetivo: Implementar servicios/APIs e integraciones (canales, data comportamiento, KYC/AML, documental, curse) + manejo de errores/fallback.</t>
  </si>
  <si>
    <t>Especificación técnica/API (OpenAPI) + arquitectura e integraciones. | Implementación (servicios, configuración de reglas, feature flags).</t>
  </si>
  <si>
    <t>1 Arquitecto de Soluciones (25%) | 1 Desarrollador Backend (100%) | 1 Desarrollador Frontend (50%) | 1 QA/Tester (50%) | 1 Especialista FICO/Blaze (50%) | 1 Coordinador Proveedor FICO/Ventiv (25%)</t>
  </si>
  <si>
    <t>A6: Ejecutar pruebas y piloto (UAT, performance, seguridad), monitoreo de KPIs y calibración de reglas.</t>
  </si>
  <si>
    <t>Objetivo: Ejecutar pruebas y piloto (UAT, performance, seguridad), monitoreo de KPIs y calibración de reglas.</t>
  </si>
  <si>
    <t>Implementación (servicios, configuración de reglas, feature flags). | Plan y evidencias de pruebas (unitarias, integración, E2E, performance, seguridad) + UAT firmado.</t>
  </si>
  <si>
    <t>A1: Levantar el proceso actual y definir el alcance documental por producto/canal (qué documentos, cuándo aplican).</t>
  </si>
  <si>
    <t>Objetivo: Levantar el proceso actual y definir el alcance documental por producto/canal (qué documentos, cuándo aplican).</t>
  </si>
  <si>
    <t>Documento de alcance y catálogo documental (por producto/canal/segmento) + reglas de aplicabilidad. | Modelo de datos documental (metadatos, versionado, evidencias, auditoría).</t>
  </si>
  <si>
    <t>Operaciones (BackOffice/Admisión), Legal/Compliance, Canales (TAPP/SVP/Sucursal)</t>
  </si>
  <si>
    <t>1 Analista Funcional (100%) | 1 Compliance/Legal (25%) | 1 UX/CX Designer (25%)</t>
  </si>
  <si>
    <t>A2: Definir la orquestación de estados: generar → enviar → firmar → validar → almacenar → habilitar curse (y qué pasa si falla).</t>
  </si>
  <si>
    <t>Objetivo: Definir la orquestación de estados: generar → enviar → firmar → validar → almacenar → habilitar curse (y qué pasa si falla).</t>
  </si>
  <si>
    <t>Diseño del flujo de orquestación (estados, transiciones, errores, SLAs, reintentos, vencimientos). | Especificación de integraciones/APIs (firma digital, repositorio documental, onboarding/orquestador, curse).</t>
  </si>
  <si>
    <t>Proveedor Firma Digital/ECM (si existe), TI Integración/Arquitectura</t>
  </si>
  <si>
    <t>1 Arquitecto de Soluciones (25%) | 1 Desarrollador Backend (100%) | 1 QA/Tester (50%) | 1 Especialista Integración/Camel (50%)</t>
  </si>
  <si>
    <t>A3: Diseñar plantillas y parametría (variables, versiones, idioma, condiciones, anexos) y reglas de selección de documentos.</t>
  </si>
  <si>
    <t>Objetivo: Diseñar plantillas y parametría (variables, versiones, idioma, condiciones, anexos) y reglas de selección de documentos.</t>
  </si>
  <si>
    <t>Documento de alcance y catálogo documental (por producto/canal/segmento) + reglas de aplicabilidad. | Plantillas de documentos parametrizadas + matriz de selección (qué se genera en cada caso).</t>
  </si>
  <si>
    <t>1 Analista Funcional (100%) | 1 Compliance/Legal (25%)</t>
  </si>
  <si>
    <t>A4: Integrar con servicios de firma digital y gestión documental (repositorio, evidencias, sellado de tiempo si aplica).</t>
  </si>
  <si>
    <t>Objetivo: Integrar con servicios de firma digital y gestión documental (repositorio, evidencias, sellado de tiempo si aplica).</t>
  </si>
  <si>
    <t>Especificación de integraciones/APIs (firma digital, repositorio documental, onboarding/orquestador, curse). | Implementación de la etapa documental (servicios, colas/eventos si aplica, configuración por ambiente).</t>
  </si>
  <si>
    <t>1 Desarrollador Backend (100%) | 1 QA/Tester (25%)</t>
  </si>
  <si>
    <t>A5: Implementar controles: completitud, consistencia de datos, validación de identidad/consentimiento, reintentos y vencimientos.</t>
  </si>
  <si>
    <t>Objetivo: Implementar controles: completitud, consistencia de datos, validación de identidad/consentimiento, reintentos y vencimientos.</t>
  </si>
  <si>
    <t>Implementación de la etapa documental (servicios, colas/eventos si aplica, configuración por ambiente). | Diseño del flujo de orquestación (estados, transiciones, errores, SLAs, reintentos, vencimientos).</t>
  </si>
  <si>
    <t>A6: Pruebas end-to-end + piloto: generación masiva, firma, trazabilidad, contingencias (firma caída / cliente no firma / expiración).</t>
  </si>
  <si>
    <t>Objetivo: Pruebas end-to-end + piloto: generación masiva, firma, trazabilidad, contingencias (firma caída / cliente no firma / expiración).</t>
  </si>
  <si>
    <t>Plan y evidencias de pruebas (funcionales, seguridad, performance, contingencias) + UAT firmado. | Implementación de la etapa documental (servicios, colas/eventos si aplica, configuración por ambiente).</t>
  </si>
  <si>
    <t>A1: Definir la taxonomía y criterios de cada tipo: Express / Normal / Sin oferta / NO OK (reglas y exclusiones).</t>
  </si>
  <si>
    <t>Objetivo: Definir la taxonomía y criterios de cada tipo: Express / Normal / Sin oferta / NO OK (reglas y exclusiones).</t>
  </si>
  <si>
    <t>Documento de alcance y criterios de clasificación (reglas por tipo, exclusiones, prioridades). | Implementación del microservicio (reglas parametrizables, versionado, feature flags).</t>
  </si>
  <si>
    <t>Ger. Riesgo (reglas de clasificación), Ger. Comercial/Producto, Canales (TAPP/SVP)</t>
  </si>
  <si>
    <t>A2: Levantar la lógica actual en Siebel y diseñar el TO-BE (qué se migra, qué se elimina, qué queda temporalmente).</t>
  </si>
  <si>
    <t>Objetivo: Levantar la lógica actual en Siebel y diseñar el TO-BE (qué se migra, qué se elimina, qué queda temporalmente).</t>
  </si>
  <si>
    <t>Plan de migración desde Siebel (coexistencia, corte, rollback) + reporte de piloto/despliegue. | Diseño TO-BE de enrutamiento (diagrama end-to-end: punto de decisión → flujos INI-01/02/03/04/normal).</t>
  </si>
  <si>
    <t>A3: Diseñar el microservicio: API, entradas/salidas, performance, seguridad, idempotencia y manejo de errores.</t>
  </si>
  <si>
    <t>Objetivo: Diseñar el microservicio: API, entradas/salidas, performance, seguridad, idempotencia y manejo de errores.</t>
  </si>
  <si>
    <t>Diseño TO-BE de enrutamiento (diagrama end-to-end: punto de decisión → flujos INI-01/02/03/04/normal). | Contrato de API del microservicio (OpenAPI) + modelo de datos (request/response).</t>
  </si>
  <si>
    <t>TI Arquitectura/Integración (owner técnico), Proveedor FICO/Ventiv (si es fuente de señales)</t>
  </si>
  <si>
    <t>1 Arquitecto de Soluciones (25%) | 1 Desarrollador Backend (100%) | 1 QA/Tester (50%) | 1 Especialista Ciberseguridad (25%) | 1 Coordinador Proveedor FICO/Ventiv (25%)</t>
  </si>
  <si>
    <t>A4: Definir e integrar fuentes de datos necesarias (CRM/Siebel, comportamiento, KYC/AML, antifraude, ofertas, etc.).</t>
  </si>
  <si>
    <t>Objetivo: Definir e integrar fuentes de datos necesarias (CRM/Siebel, comportamiento, KYC/AML, antifraude, ofertas, etc.).</t>
  </si>
  <si>
    <t>Matriz de fuentes de datos e integraciones (qué se consulta, para qué, SLA/timeout). | Plan y evidencias de pruebas (unitarias, integración, performance, resiliencia) + UAT firmado.</t>
  </si>
  <si>
    <t>1 Desarrollador Backend (100%) | 1 QA/Tester (25%) | 1 Consultor Salesforce (100%) | 1 Coordinador Proveedor FICO/Ventiv (25%)</t>
  </si>
  <si>
    <t>A5: Implementar motor de reglas parametrizable + versionado + auditoría (logs, motivos, rule-id).</t>
  </si>
  <si>
    <t>Objetivo: Implementar motor de reglas parametrizable + versionado + auditoría (logs, motivos, rule-id).</t>
  </si>
  <si>
    <t>Implementación del microservicio (reglas parametrizables, versionado, feature flags). | Documento de alcance y criterios de clasificación (reglas por tipo, exclusiones, prioridades).</t>
  </si>
  <si>
    <t>1 Arquitecto de Soluciones (25%) | 1 Desarrollador Backend (100%) | 1 QA/Tester (50%) | 1 Coordinador Proveedor FICO/Ventiv (25%)</t>
  </si>
  <si>
    <t>A6: Pruebas + piloto: exactitud de clasificación, latencia, contingencias (data faltante/servicios caídos) y calibración.</t>
  </si>
  <si>
    <t>Objetivo: Pruebas + piloto: exactitud de clasificación, latencia, contingencias (data faltante/servicios caídos) y calibración.</t>
  </si>
  <si>
    <t>Plan y evidencias de pruebas (unitarias, integración, performance, resiliencia) + UAT firmado. | Documento de alcance y criterios de clasificación (reglas por tipo, exclusiones, prioridades).</t>
  </si>
  <si>
    <t>A1: Definir casos de derivación y criterios (qué se deriva vs qué se rechaza definitivo; motivos y priorización).</t>
  </si>
  <si>
    <t>Objetivo: Definir casos de derivación y criterios (qué se deriva vs qué se rechaza definitivo; motivos y priorización).</t>
  </si>
  <si>
    <t>Documento de alcance y reglas de derivación (criterios, exclusiones, motivos/códigos, priorización). | Journey/UX del cliente en digital para derivación (mensajes, consentimiento, agendamiento, tracking de estado).</t>
  </si>
  <si>
    <t>Operaciones/Admisión (dueño del proceso y SLAs), Canales Digitales (TAPP/SVP), Ger. Comercial</t>
  </si>
  <si>
    <t>1 Analista Funcional (100%) | 1 Especialista Producto/Comercial (25%)</t>
  </si>
  <si>
    <t>A2: Diseñar el modelo operativo: quién atiende (analista/call center/sucursal), colas, SLA, horarios, capacidad y escalamiento.</t>
  </si>
  <si>
    <t>Objetivo: Diseñar el modelo operativo: quién atiende (analista/call center/sucursal), colas, SLA, horarios, capacidad y escalamiento.</t>
  </si>
  <si>
    <t>Diseño del proceso operativo (colas, SLA, roles, RACI, capacidad, escalamiento).</t>
  </si>
  <si>
    <t>A3: Diseñar el handoff digital: captura mínima de datos, consentimiento, agendamiento/contactabilidad, estado visible al cliente.</t>
  </si>
  <si>
    <t>Objetivo: Diseñar el handoff digital: captura mínima de datos, consentimiento, agendamiento/contactabilidad, estado visible al cliente.</t>
  </si>
  <si>
    <t>Journey/UX del cliente en digital para derivación (mensajes, consentimiento, agendamiento, tracking de estado). | Diseño del proceso operativo (colas, SLA, roles, RACI, capacidad, escalamiento).</t>
  </si>
  <si>
    <t>A4: Implementar la gestión de casos (creación de caso/ticket/lead en CRM o herramienta), asignación y trazabilidad end-to-end.</t>
  </si>
  <si>
    <t>Objetivo: Implementar la gestión de casos (creación de caso/ticket/lead en CRM o herramienta), asignación y trazabilidad end-to-end.</t>
  </si>
  <si>
    <t>Implementación de creación/asignación de casos + bandeja/cola para analistas (o configuración si es herramienta existente). | Modelo de caso y datos mínimos (campos, adjuntos, estados, trazabilidad, auditoría).</t>
  </si>
  <si>
    <t>Ger. Comercial, Data/BI (medición de recuperación)</t>
  </si>
  <si>
    <t>1 Arquitecto de Soluciones (25%) | 1 Desarrollador Backend (100%) | 1 QA/Tester (50%) | 1 Consultor Salesforce (100%)</t>
  </si>
  <si>
    <t>A5: Integrar notificaciones y estados: actualizaciones al canal digital (en revisión, solicitado documento, aprobado, rechazado).</t>
  </si>
  <si>
    <t>Objetivo: Integrar notificaciones y estados: actualizaciones al canal digital (en revisión, solicitado documento, aprobado, rechazado).</t>
  </si>
  <si>
    <t>Especificación de integraciones/APIs (digital ↔ CRM/case management ↔ notificaciones ↔ repositorios si aplica). | Documento de alcance y reglas de derivación (criterios, exclusiones, motivos/códigos, priorización).</t>
  </si>
  <si>
    <t>A6: Piloto y calibración: medir recuperación, tiempos y causas; ajustar reglas de derivación y dotación.</t>
  </si>
  <si>
    <t>Objetivo: Piloto y calibración: medir recuperación, tiempos y causas; ajustar reglas de derivación y dotación.</t>
  </si>
  <si>
    <t>Tablero de KPIs (tasa de derivación, tasa de recuperación, TAT, contactabilidad, conversión, causas) + reporte de piloto. | Documento de alcance y reglas de derivación (criterios, exclusiones, motivos/códigos, priorización).</t>
  </si>
  <si>
    <t>A1: Definir el alcance de estado a persistir (datos mínimos, decisiones, oferta simulada, documentos pendientes) y en qué hitos (Simulación/Evaluación/Doc).</t>
  </si>
  <si>
    <t>Objetivo: Definir el alcance de estado a persistir (datos mínimos, decisiones, oferta simulada, documentos pendientes) y en qué hitos (Simulación/Evaluación/Doc).</t>
  </si>
  <si>
    <t>Documento de alcance funcional de retomabilidad (hitos, casos de uso, qué se persiste y qué no). | Definición de ID de solicitud y reglas de reconciliación (cómo se “encuentra” la solicitud en otro canal).</t>
  </si>
  <si>
    <t>Canales (TAPP/SVP), Operaciones</t>
  </si>
  <si>
    <t>1 Analista Funcional (100%)</t>
  </si>
  <si>
    <t>A2: Definir identificador de continuidad (ID solicitud) y reglas de vinculación cliente-solicitud (login, OTP, documento, etc.).</t>
  </si>
  <si>
    <t>Objetivo: Definir identificador de continuidad (ID solicitud) y reglas de vinculación cliente-solicitud (login, OTP, documento, etc.).</t>
  </si>
  <si>
    <t>Definición de ID de solicitud y reglas de reconciliación (cómo se “encuentra” la solicitud en otro canal). | Documento de alcance funcional de retomabilidad (hitos, casos de uso, qué se persiste y qué no).</t>
  </si>
  <si>
    <t>A3: Diseñar la arquitectura de persistencia (store de estado, modelo de datos, APIs de lectura/escritura, versionado).</t>
  </si>
  <si>
    <t>Objetivo: Diseñar la arquitectura de persistencia (store de estado, modelo de datos, APIs de lectura/escritura, versionado).</t>
  </si>
  <si>
    <t>Modelo de datos de estado (campos, estructura, versionado, evidencias y auditoría). | Especificación de APIs de persistencia/retoma (crear, actualizar, consultar, reanudar, cerrar/cancelar).</t>
  </si>
  <si>
    <t>TI Arquitectura/Integración (owner), Seguridad/Ciber (PII/controles)</t>
  </si>
  <si>
    <t>1 Arquitecto de Soluciones (25%) | 1 Desarrollador Backend (100%) | 1 Desarrollador Frontend (50%) | 1 QA/Tester (50%)</t>
  </si>
  <si>
    <t>A4: Definir vigencias y caducidades (TTL de simulación/oferta, refresh de datos, re-evaluación si expira).</t>
  </si>
  <si>
    <t>Objetivo: Definir vigencias y caducidades (TTL de simulación/oferta, refresh de datos, re-evaluación si expira).</t>
  </si>
  <si>
    <t>Definición de ID de solicitud y reglas de reconciliación (cómo se “encuentra” la solicitud en otro canal). | Modelo de datos de estado (campos, estructura, versionado, evidencias y auditoría).</t>
  </si>
  <si>
    <t>A5: Integrar canales y backends para guardar/recuperar estado (digital, sucursal, CRM/Siebel, orquestador, motor/FICO si aplica).</t>
  </si>
  <si>
    <t>Objetivo: Integrar canales y backends para guardar/recuperar estado (digital, sucursal, CRM/Siebel, orquestador, motor/FICO si aplica).</t>
  </si>
  <si>
    <t>Implementación del servicio/store de estado + integraciones con canales y orquestador.</t>
  </si>
  <si>
    <t>1 Arquitecto de Soluciones (25%) | 1 Desarrollador Backend (100%) | 1 Desarrollador Frontend (50%) | 1 QA/Tester (50%) | 1 Especialista FICO/Blaze (50%) | 1 Consultor Salesforce (100%) | 1 Especialista Integración/Camel (50%)</t>
  </si>
  <si>
    <t>A6: Pruebas end-to-end omnicanal + piloto (casos de retoma, expiración, concurrencia, seguridad).</t>
  </si>
  <si>
    <t>Objetivo: Pruebas end-to-end omnicanal + piloto (casos de retoma, expiración, concurrencia, seguridad).</t>
  </si>
  <si>
    <t>Plan y evidencias de pruebas (E2E omnicanal, concurrencia, seguridad/PII, contingencias) + UAT firmado. | Política de vigencia/expiración (TTL, revalidaciones, cuándo se fuerza nueva evaluación).</t>
  </si>
  <si>
    <t>INI-08</t>
  </si>
  <si>
    <t>A1: Medir y caracterizar la duplicidad: % de casos donde pre-eval = eval, por canal/producto/segmento y por motivo.</t>
  </si>
  <si>
    <t>Objetivo: Medir y caracterizar la duplicidad: % de casos donde pre-eval = eval, por canal/producto/segmento y por motivo.</t>
  </si>
  <si>
    <t>Informe de diagnóstico: análisis de duplicidad (KPIs, segmentos, causas, ahorro estimado).</t>
  </si>
  <si>
    <t>Ger. Riesgo (decisión y controles), Ger. Comercial, Compliance</t>
  </si>
  <si>
    <t>1 Analista Funcional (100%) | 1 Especialista Riesgo (50%) | 1 Especialista Producto/Comercial (25%) | 1 Compliance/Legal (25%) | 1 UX/CX Designer (25%)</t>
  </si>
  <si>
    <t>A2: Definir el nuevo diseño TO-BE: (i) unificar nodos, (ii) convertir uno en “control mínimo”, o (iii) ejecutar evaluación única con vigencia/TTL.</t>
  </si>
  <si>
    <t>Objetivo: Definir el nuevo diseño TO-BE: (i) unificar nodos, (ii) convertir uno en “control mínimo”, o (iii) ejecutar evaluación única con vigencia/TTL.</t>
  </si>
  <si>
    <t>Diseño funcional TO-BE racionalizado (diagrama del flujo y decisiones: unificado / reutilización / control mínimo). | Política de vigencia/TTL y criterios de re-evaluación (cambios que gatillan nueva evaluación).</t>
  </si>
  <si>
    <t>A3: Definir criterios de equivalencia y vigencia (cuándo se “reusa” un resultado y cuándo se re-evalúa: expiración, cambio de datos, monto/plazo, canal).</t>
  </si>
  <si>
    <t>Objetivo: Definir criterios de equivalencia y vigencia (cuándo se “reusa” un resultado y cuándo se re-evalúa: expiración, cambio de datos, monto/plazo, canal).</t>
  </si>
  <si>
    <t>A4: Ajustar la orquestación del flujo (Simulación ↔ Evaluación) para evitar re-llamadas y manejar excepciones (“no hit”, error, data incompleta).</t>
  </si>
  <si>
    <t>Objetivo: Ajustar la orquestación del flujo (Simulación ↔ Evaluación) para evitar re-llamadas y manejar excepciones (“no hit”, error, data incompleta).</t>
  </si>
  <si>
    <t>Diseño funcional TO-BE racionalizado (diagrama del flujo y decisiones: unificado / reutilización / control mínimo). | Plan y evidencias de pruebas (E2E por flujo: Express/Normal/Sin oferta; performance y resiliencia) + UAT.</t>
  </si>
  <si>
    <t>A5: Implementar auditoría y versionado (qué score/decisión se reutilizó, cuándo, bajo qué reglas).</t>
  </si>
  <si>
    <t>Objetivo: Implementar auditoría y versionado (qué score/decisión se reutilizó, cuándo, bajo qué reglas).</t>
  </si>
  <si>
    <t>Especificación de reglas de equivalencia y manejo de excepciones (no hit, error técnico, data insuficiente). | Implementación en orquestador/microservicios (caching controlado / reutilización / eliminación de nodo redundante).</t>
  </si>
  <si>
    <t>TI Arquitectura/Integración, Proveedor FICO/Ventiv</t>
  </si>
  <si>
    <t>A6: Piloto y calibración: monitorear TAT, conversión, tasa de re-evaluación, riesgo temprano; ajustar thresholds/TTL.</t>
  </si>
  <si>
    <t>Objetivo: Piloto y calibración: monitorear TAT, conversión, tasa de re-evaluación, riesgo temprano; ajustar thresholds/TTL.</t>
  </si>
  <si>
    <t>Tablero de monitoreo post-implementación (TAT, # llamadas FICO, tasa de reuso, conversión, drift de riesgo) + alertas. | Diseño funcional TO-BE racionalizado (diagrama del flujo y decisiones: unificado / reutilización / control mínimo).</t>
  </si>
  <si>
    <t>Ger. Riesgo (decisión y controles), TI Arquitectura/Integración, Proveedor FICO/Ventiv, Ger. Comercial, Data/BI (análisis de duplicidad y KPI), Compliance</t>
  </si>
  <si>
    <t>A1: Definir el modelo de funnel: etapas estándar, eventos de entrada/salida y transiciones obligatorias (incluye abandonos y rechazos).</t>
  </si>
  <si>
    <t>Objetivo: Definir el modelo de funnel: etapas estándar, eventos de entrada/salida y transiciones obligatorias (incluye abandonos y rechazos).</t>
  </si>
  <si>
    <t>Definición del funnel TO-BE (5 etapas) con mapa de eventos y transiciones por canal. | Definición de abandono por nodo (criterios, ventanas de tiempo, reglas de conteo) y mapa de nodos digitales.</t>
  </si>
  <si>
    <t>Canales Digitales (TAPP/SVP), Operaciones, Ger. Comercial, Ger. Riesgo (para motivos/estados)</t>
  </si>
  <si>
    <t>A2: Definir diccionario de métricas y KPIs (conversión etapa-etapa, tasa de caída, TAT por etapa, tasa de error, % derivación, abandono por nodo).</t>
  </si>
  <si>
    <t>Objetivo: Definir diccionario de métricas y KPIs (conversión etapa-etapa, tasa de caída, TAT por etapa, tasa de error, % derivación, abandono por nodo).</t>
  </si>
  <si>
    <t>Definición de abandono por nodo (criterios, ventanas de tiempo, reglas de conteo) y mapa de nodos digitales. | Diccionario de métricas/KPIs unificado (funnel + abandono + reconversión: fórmulas, ventanas, segmentaciones, ownership).</t>
  </si>
  <si>
    <t>A3: Acordar el identificador único de solicitud y reglas para deduplicación/omnichannel (una solicitud que migra de canal).</t>
  </si>
  <si>
    <t>Objetivo: Acordar el identificador único de solicitud y reglas para deduplicación/omnichannel (una solicitud que migra de canal).</t>
  </si>
  <si>
    <t>Definición del ID único de solicitud + reglas de deduplicación y continuidad omnicanal (TAPP/SVP/Presencial). | Definición de abandono por nodo (criterios, ventanas de tiempo, reglas de conteo) y mapa de nodos digitales.</t>
  </si>
  <si>
    <t>1 Analista Funcional (100%) | 1 Especialista Riesgo (50%) | 1 Especialista Producto/Comercial (25%) | 1 UX/CX Designer (25%)</t>
  </si>
  <si>
    <t>A4: Definir qué es 'abandono' por nodo digital (timeout, cierre app, drop-off, 'No', error) y el modelo de eventos (start/finish/decision/error) + motivos/códigos.</t>
  </si>
  <si>
    <t>Objetivo: Definir qué es 'abandono' por nodo digital (timeout, cierre app, drop-off, 'No', error) y el modelo de eventos (start/finish/decision/error) + motivos/códigos.</t>
  </si>
  <si>
    <t>Definición de abandono por nodo (criterios, ventanas de tiempo, reglas de conteo) y mapa de nodos digitales. | Definición del funnel TO-BE (5 etapas) con mapa de eventos y transiciones por canal.</t>
  </si>
  <si>
    <t>TI Data/Plataforma, TI Integración (eventos/IDs)</t>
  </si>
  <si>
    <t>1 Desarrollador Backend (100%) | 1 QA/Tester (25%) | 1 Ingeniero Cloud GCP (50%)</t>
  </si>
  <si>
    <t>A5: Instrumentar eventos en sistemas/canales (TAPP, SVP, Presencial/orquestador, FICO, documental, curse) con códigos de estado/motivo.</t>
  </si>
  <si>
    <t>Objetivo: Instrumentar eventos en sistemas/canales (TAPP, SVP, Presencial/orquestador, FICO, documental, curse) con códigos de estado/motivo.</t>
  </si>
  <si>
    <t>Definición del ID único de solicitud + reglas de deduplicación y continuidad omnicanal (TAPP/SVP/Presencial).</t>
  </si>
  <si>
    <t>1 Arquitecto de Soluciones (25%) | 1 Desarrollador Backend (100%) | 1 Desarrollador Frontend (50%) | 1 QA/Tester (50%) | 1 Especialista FICO/Blaze (50%) | 1 Ingeniero Cloud GCP (50%) | 1 Especialista Integración/Camel (50%)</t>
  </si>
  <si>
    <t>A6: Integrar con datos de Sucursal Presencial para detectar retoma/venta posterior y construir atribución omnicanal.</t>
  </si>
  <si>
    <t>Objetivo: Integrar con datos de Sucursal Presencial para detectar retoma/venta posterior y construir atribución omnicanal.</t>
  </si>
  <si>
    <t>Dashboards integrados: conversión por etapa/canal, abandono por nodo, reconversión a sucursal, cohortes, tendencias + alertas operativas. | Definición del ID único de solicitud + reglas de deduplicación y continuidad omnicanal (TAPP/SVP/Presencial).</t>
  </si>
  <si>
    <t>1 Arquitecto de Soluciones (25%) | 1 Desarrollador Backend (100%) | 1 Desarrollador Frontend (50%) | 1 QA/Tester (50%) | 1 Ingeniero Cloud GCP (50%)</t>
  </si>
  <si>
    <t>A7: Implementar pipeline de datos (ingesta, calidad, reconciliación, dimensiones: canal/etapa/producto/segmento) y almacenamiento.</t>
  </si>
  <si>
    <t>Objetivo: Implementar pipeline de datos (ingesta, calidad, reconciliación, dimensiones: canal/etapa/producto/segmento) y almacenamiento.</t>
  </si>
  <si>
    <t>Implementación del pipeline de datos (ingesta → validación → modelo analítico → dataset de funnel + abandono + reconversión). | Dashboards integrados: conversión por etapa/canal, abandono por nodo, reconversión a sucursal, cohortes, tendencias + alertas operativas.</t>
  </si>
  <si>
    <t>1 Desarrollador Backend (100%) | 1 QA/Tester (25%) | 1 Ingeniero Cloud GCP (50%) | 1 DevOps/SRE (50%)</t>
  </si>
  <si>
    <t>A8: Construir dashboards y alertas (funnel de conversión + abandono por nodo + reconversión); ejecutar piloto de medición, ajustar definiciones y cerrar gobierno de datos.</t>
  </si>
  <si>
    <t>Objetivo: Construir dashboards y alertas (funnel de conversión + abandono por nodo + reconversión); ejecutar piloto de medición, ajustar definiciones y cerrar gobierno de datos.</t>
  </si>
  <si>
    <t>Dashboards integrados: conversión por etapa/canal, abandono por nodo, reconversión a sucursal, cohortes, tendencias + alertas operativas. | Definición de abandono por nodo (criterios, ventanas de tiempo, reglas de conteo) y mapa de nodos digitales.</t>
  </si>
  <si>
    <t>3-6 semanas</t>
  </si>
  <si>
    <t>A1: Levantar reglas actuales en FICO/motor (knockouts, thresholds, segmentos) y definir qué se externaliza a la capa de reglas.</t>
  </si>
  <si>
    <t>Objetivo: Levantar reglas actuales en FICO/motor (knockouts, thresholds, segmentos) y definir qué se externaliza a la capa de reglas.</t>
  </si>
  <si>
    <t>Inventario de reglas actuales + decisión de externalización (qué queda en FICO vs qué pasa a capa negocio). | API/Contrato para consumo de reglas por el motor/orquestador (OpenAPI) + estrategia de caching y resiliencia.</t>
  </si>
  <si>
    <t>Ger. Riesgo (owner funcional de reglas), Compliance</t>
  </si>
  <si>
    <t>1 Analista Funcional (100%) | 1 Especialista Riesgo (50%) | 1 Compliance/Legal (25%)</t>
  </si>
  <si>
    <t>A2: Definir el modelo de reglas (tipos de regla, prioridad, condiciones, acciones, motivos/códigos) y requerimientos no funcionales (latencia, disponibilidad).</t>
  </si>
  <si>
    <t>Objetivo: Definir el modelo de reglas (tipos de regla, prioridad, condiciones, acciones, motivos/códigos) y requerimientos no funcionales (latencia, disponibilidad).</t>
  </si>
  <si>
    <t>Modelo de reglas y estándar de motivos/códigos (estructura, prioridades, condiciones/acciones). | Inventario de reglas actuales + decisión de externalización (qué queda en FICO vs qué pasa a capa negocio).</t>
  </si>
  <si>
    <t>TI Arquitectura/Integración (owner técnico), Proveedor FICO/Ventiv, Seguridad/Ciber (roles/auditoría)</t>
  </si>
  <si>
    <t>1 Desarrollador Backend (100%) | 1 QA/Tester (25%) | 1 Especialista FICO/Blaze (50%) | 1 Coordinador Proveedor FICO/Ventiv (25%)</t>
  </si>
  <si>
    <t>A3: Diseñar la interfaz de negocio: edición, validaciones, workflow de aprobación, versionado, comentarios, publicación por ambiente.</t>
  </si>
  <si>
    <t>Objetivo: Diseñar la interfaz de negocio: edición, validaciones, workflow de aprobación, versionado, comentarios, publicación por ambiente.</t>
  </si>
  <si>
    <t>Diseño e implementación de la Interfaz de Reglas (UI) con workflow (creación, revisión, aprobación, publicación). | Inventario de reglas actuales + decisión de externalización (qué queda en FICO vs qué pasa a capa negocio).</t>
  </si>
  <si>
    <t>A4: Diseñar el runtime: cómo el motor técnico consume reglas (API/config), caching, idempotencia, y compatibilidad con FICO.</t>
  </si>
  <si>
    <t>Objetivo: Diseñar el runtime: cómo el motor técnico consume reglas (API/config), caching, idempotencia, y compatibilidad con FICO.</t>
  </si>
  <si>
    <t>Diseño e implementación de la Interfaz de Reglas (UI) con workflow (creación, revisión, aprobación, publicación). | API/Contrato para consumo de reglas por el motor/orquestador (OpenAPI) + estrategia de caching y resiliencia.</t>
  </si>
  <si>
    <t>A5: Implementar simulador/sandbox y controles de despliegue (feature flags, canary, rollback).</t>
  </si>
  <si>
    <t>Objetivo: Implementar simulador/sandbox y controles de despliegue (feature flags, canary, rollback).</t>
  </si>
  <si>
    <t>Implementación de controles de despliegue (feature flags, canary, rollback) y guía operativa. | Diseño e implementación de la Interfaz de Reglas (UI) con workflow (creación, revisión, aprobación, publicación).</t>
  </si>
  <si>
    <t>1 Líder/PM de Iniciativa (50%) | 1 Analista Funcional (50%) | 1 Desarrollador Backend (50%) | 1 QA/Tester (50%)</t>
  </si>
  <si>
    <t>A6: Piloto: migrar un set acotado de reglas, medir tiempos de cambio, errores, performance y ajustar gobernanza.</t>
  </si>
  <si>
    <t>Objetivo: Piloto: migrar un set acotado de reglas, medir tiempos de cambio, errores, performance y ajustar gobernanza.</t>
  </si>
  <si>
    <t>Inventario de reglas actuales + decisión de externalización (qué queda en FICO vs qué pasa a capa negocio). | Modelo de reglas y estándar de motivos/códigos (estructura, prioridades, condiciones/acciones).</t>
  </si>
  <si>
    <t>A7: Definir modelo de gobierno de reglas: asignar responsables por tipo de regla (knockout → Ger. Riesgo, scoring → Ger. Riesgo, oferta → Ger. Producto), definir protocolo de solicitud/aprobación/despliegue de cambios, ventanas de cambio permitidas y mecanismo de auditoría y trazabilidad de cada modificación.</t>
  </si>
  <si>
    <t>Objetivo: Definir modelo de gobierno de reglas: asignar responsables por tipo de regla (knockout → Ger. Riesgo, scoring → Ger. Riesgo, oferta → Ger. Producto), definir protocolo de solicitud/aprobación/despliegue de cambios, ventanas de cambio permitidas y mecanismo de auditoría y trazabilidad de cada modificación.</t>
  </si>
  <si>
    <t>Modelo de reglas y estándar de motivos/códigos (estructura, prioridades, condiciones/acciones). | Diseño e implementación de la Interfaz de Reglas (UI) con workflow (creación, revisión, aprobación, publicación).</t>
  </si>
  <si>
    <t>A1: Consolidar el flujo TO-BE en un modelo único (E2E) con etapas, decisiones, variantes por tipo de cliente/canal.</t>
  </si>
  <si>
    <t>Objetivo: Consolidar el flujo TO-BE en un modelo único (E2E) con etapas, decisiones, variantes por tipo de cliente/canal.</t>
  </si>
  <si>
    <t>Blueprint E2E (diagrama principal) del flujo de admisión TO-BE con variantes (Express/Normal/Sin oferta/NO OK; TAPP/SVP/Presencial). | Glosario y diccionario de términos (etapas, estados, “No”, motivos, IDs, SLA).</t>
  </si>
  <si>
    <t>PMO / Gestión de Procesos (owner), Ger. Comercial, Ger. Riesgo, Operaciones, Canales (TAPP/SVP/Sucursal), Legal/Compliance</t>
  </si>
  <si>
    <t>A2: Documentar RACI/ownership por etapa (quién define, ejecuta, aprueba cambios; puntos de control).</t>
  </si>
  <si>
    <t>Objetivo: Documentar RACI/ownership por etapa (quién define, ejecuta, aprueba cambios; puntos de control).</t>
  </si>
  <si>
    <t>Paquete de documentación por etapa (Generación de oferta, Simulación, Evaluación, Documentación, Curse): objetivos, entradas/salidas, controles. | RACI y ownership (dueño del proceso, dueños por etapa, aprobadores, operación).</t>
  </si>
  <si>
    <t>A3: Definir estándares de documentación: BPMN, glosario, catálogos (estados/motivos), y definición de interfaces entre áreas/sistemas.</t>
  </si>
  <si>
    <t>Objetivo: Definir estándares de documentación: BPMN, glosario, catálogos (estados/motivos), y definición de interfaces entre áreas/sistemas.</t>
  </si>
  <si>
    <t>Paquete de documentación por etapa (Generación de oferta, Simulación, Evaluación, Documentación, Curse): objetivos, entradas/salidas, controles. | Glosario y diccionario de términos (etapas, estados, “No”, motivos, IDs, SLA).</t>
  </si>
  <si>
    <t>A4: Realizar talleres de socialización/validación con stakeholders y cerrar acuerdos (Riesgo, Canales, Ops, TI, Legal/Compliance).</t>
  </si>
  <si>
    <t>Objetivo: Realizar talleres de socialización/validación con stakeholders y cerrar acuerdos (Riesgo, Canales, Ops, TI, Legal/Compliance).</t>
  </si>
  <si>
    <t>Materiales de socialización: presentaciones, minutas, FAQs y capacitaciones por área/canal.</t>
  </si>
  <si>
    <t>1 Líder/PM de Iniciativa (50%) | 1 Analista Funcional (50%)</t>
  </si>
  <si>
    <t>A5: Publicar en repositorio corporativo con versionado (control de cambios, releases, calendario de revisiones).</t>
  </si>
  <si>
    <t>Objetivo: Publicar en repositorio corporativo con versionado (control de cambios, releases, calendario de revisiones).</t>
  </si>
  <si>
    <t>Repositorio publicado (Confluence/SharePoint/etc.) con control de versiones y plantilla estándar. | Modelo de gobierno y cadencia (comité, proceso de cambios, checklist y calendario de revisión).</t>
  </si>
  <si>
    <t>TI Arquitectura</t>
  </si>
  <si>
    <t>A6: Implementar mecanismo de mantenimiento: cadencia de actualización, comité de cambios y “definition of done” documental por iniciativa.</t>
  </si>
  <si>
    <t>Objetivo: Implementar mecanismo de mantenimiento: cadencia de actualización, comité de cambios y “definition of done” documental por iniciativa.</t>
  </si>
  <si>
    <t>Paquete de documentación por etapa (Generación de oferta, Simulación, Evaluación, Documentación, Curse): objetivos, entradas/salidas, controles. | Modelo de gobierno y cadencia (comité, proceso de cambios, checklist y calendario de revisión).</t>
  </si>
  <si>
    <t>A7: Definir cadencias operativas formales: daily operativo, semanal táctico, quincenal estratégico. Establecer Owner E2E del proceso de crédito con autoridad para resolver conflictos entre áreas.</t>
  </si>
  <si>
    <t>Objetivo: Definir cadencias operativas formales: daily operativo, semanal táctico, quincenal estratégico. Establecer Owner E2E del proceso de crédito con autoridad para resolver conflictos entre áreas.</t>
  </si>
  <si>
    <t>TBD</t>
  </si>
  <si>
    <t>A8: Implementar modelo de gobierno incremental: medir madurez baseline (AS-IS) con scoring COBIT y definir metas por cada ciclo TO-BE.</t>
  </si>
  <si>
    <t>Objetivo: Implementar modelo de gobierno incremental: medir madurez baseline (AS-IS) con scoring COBIT y definir metas por cada ciclo TO-BE.</t>
  </si>
  <si>
    <t>Modelo de gobierno y cadencia (comité, proceso de cambios, checklist y calendario de revisión).</t>
  </si>
  <si>
    <t>1 Arquitecto de Soluciones (25%) | 1 Desarrollador Backend (100%) | 1 QA/Tester (50%)</t>
  </si>
  <si>
    <t>A1: Clasificar dependencias por criticidad (críticas / no críticas) por etapa (Simulación, Evaluación, Documentación, Curse).</t>
  </si>
  <si>
    <t>Objetivo: Clasificar dependencias por criticidad (críticas / no críticas) por etapa (Simulación, Evaluación, Documentación, Curse).</t>
  </si>
  <si>
    <t>Matriz de dependencias y criticidad por etapa/canal (qué es crítico vs no crítico). | Catálogo de modos degradados y fallbacks aprobados (por falla y por etapa), con condiciones de activación.</t>
  </si>
  <si>
    <t>Operaciones (owner operativo de alertas y runbooks), Canales (TAPP/SVP), Ger. Riesgo (fallbacks permitidos), Ger. Comercial (campañas/cargas)</t>
  </si>
  <si>
    <t>A2: Definir estrategias de fallback por falla: reintento, cola y re-proceso, cache/último valor válido, bypass controlado, derivación humana, o pausa con retoma.</t>
  </si>
  <si>
    <t>Objetivo: Definir estrategias de fallback por falla: reintento, cola y re-proceso, cache/último valor válido, bypass controlado, derivación humana, o pausa con retoma.</t>
  </si>
  <si>
    <t>Definición de reglas de validación y catálogo de fallas/motivos (errores de carga, datos incompletos, duplicados, desactualización).</t>
  </si>
  <si>
    <t>A3: Definir reglas de degradación permitida por tipo de cliente (Express/Normal/Sin oferta) y por canal (TAPP/SVP/Presencial).</t>
  </si>
  <si>
    <t>Objetivo: Definir reglas de degradación permitida por tipo de cliente (Express/Normal/Sin oferta) y por canal (TAPP/SVP/Presencial).</t>
  </si>
  <si>
    <t>Definición de reglas de validación y catálogo de fallas/motivos (errores de carga, datos incompletos, duplicados, desactualización). | Reglas de continuidad vs stop (qué se permite bypassear, qué deriva a humano, qué se rechaza/pausa).</t>
  </si>
  <si>
    <t>A4: Definir qué es 'validación' y 'falla' en componentes clave (Base de Aprobados, batch nocturno, campañas): reglas, campos críticos, tipos de error.</t>
  </si>
  <si>
    <t>Objetivo: Definir qué es 'validación' y 'falla' en componentes clave (Base de Aprobados, batch nocturno, campañas): reglas, campos críticos, tipos de error.</t>
  </si>
  <si>
    <t>A5: Definir métricas del sensor de salud: % fallas, volumen, frescura del batch, distribución por motivo; umbrales y ventanas de tiempo.</t>
  </si>
  <si>
    <t>Objetivo: Definir métricas del sensor de salud: % fallas, volumen, frescura del batch, distribución por motivo; umbrales y ventanas de tiempo.</t>
  </si>
  <si>
    <t>Especificación del sensor de salud (métricas, umbrales, ventanas, segmentaciones por canal/campaña) para Base de Aprobados y otros componentes críticos. | Definición de reglas de validación y catálogo de fallas/motivos (errores de carga, datos incompletos, duplicados, desactualización).</t>
  </si>
  <si>
    <t>A6: Diseñar flujos de excepción formales para escenarios de deprecación/migración de sistemas (ej: OSB→Camel, Siebel→Salesforce): qué pasa durante la transición, cómo se mantiene servicio parcial, quién decide activar/desactivar, rollback.</t>
  </si>
  <si>
    <t>Objetivo: Diseñar flujos de excepción formales para escenarios de deprecación/migración de sistemas (ej: OSB→Camel, Siebel→Salesforce): qué pasa durante la transición, cómo se mantiene servicio parcial, quién decide activar/desactivar, rollback.</t>
  </si>
  <si>
    <t>Diseño de flujos de excepción para deprecación/migración de sistemas (procedimiento, criterios activación, rollback, comunicación). | Diseño técnico de resiliencia (timeouts, circuit breakers, colas/retry, caching, idempotencia, store de estado).</t>
  </si>
  <si>
    <t>TI Arquitectura/Plataforma (owner técnico), Operaciones (owner operativo de alertas y runbooks), Sonda (infra), Canales (TAPP/SVP), Proveedor FICO/Ventiv (dependencias críticas), Ger. Riesgo (fallbacks permitidos), Ger. Comercial (campañas/cargas), Data/BI (tablero/impacto)</t>
  </si>
  <si>
    <t>A7: Implementar controles técnicos: timeouts, circuit breaker, colas, idempotencia, almacenamiento de estado para retoma.</t>
  </si>
  <si>
    <t>Objetivo: Implementar controles técnicos: timeouts, circuit breaker, colas, idempotencia, almacenamiento de estado para retoma.</t>
  </si>
  <si>
    <t>Diseño técnico de resiliencia (timeouts, circuit breakers, colas/retry, caching, idempotencia, store de estado). | Implementación del motor de monitoreo/sensor (cálculo, detección de anomalías, almacenamiento histórico).</t>
  </si>
  <si>
    <t>TI Arquitectura/Plataforma (owner técnico), Sonda (infra), Proveedor FICO/Ventiv (dependencias críticas)</t>
  </si>
  <si>
    <t>1 Arquitecto de Soluciones (25%) | 1 Desarrollador Backend (100%) | 1 Desarrollador Frontend (50%) | 1 QA/Tester (50%) | 1 Coordinador Proveedor Sonda (25%) | 1 Coordinador Proveedor FICO/Ventiv (25%)</t>
  </si>
  <si>
    <t>A8: Implementar sensor de salud de componentes críticos (cálculo de métricas, detección de anomalías, umbrales dinámicos).</t>
  </si>
  <si>
    <t>Objetivo: Implementar sensor de salud de componentes críticos (cálculo de métricas, detección de anomalías, umbrales dinámicos).</t>
  </si>
  <si>
    <t>Implementación del motor de monitoreo/sensor (cálculo, detección de anomalías, almacenamiento histórico). | Especificación del sensor de salud (métricas, umbrales, ventanas, segmentaciones por canal/campaña) para Base de Aprobados y otros componentes críticos.</t>
  </si>
  <si>
    <t>1 Arquitecto de Soluciones (25%) | 1 Desarrollador Backend (100%) | 1 QA/Tester (50%) | 1 Coordinador Proveedor Sonda (25%) | 1 Coordinador Proveedor FICO/Ventiv (25%)</t>
  </si>
  <si>
    <t>A9: Implementar alertamiento operacional (email/Teams/PagerDuty), rutas de escalamiento y runbooks por tipo de falla.</t>
  </si>
  <si>
    <t>Objetivo: Implementar alertamiento operacional (email/Teams/PagerDuty), rutas de escalamiento y runbooks por tipo de falla.</t>
  </si>
  <si>
    <t>Configuración de alertas y escalamiento + runbooks operativos por tipo de incidente. | Implementación en orquestador/microservicios/canales (configuración por ambiente, feature flags).</t>
  </si>
  <si>
    <t>A10: Implementar trazabilidad: eventos, motivos y métricas de 'modo degradado' y 'sensor de salud'.</t>
  </si>
  <si>
    <t>Objetivo: Implementar trazabilidad: eventos, motivos y métricas de 'modo degradado' y 'sensor de salud'.</t>
  </si>
  <si>
    <t>A11: Pruebas de resiliencia (chaos/failover), simulación de fallas, calibración de umbrales + piloto controlado.</t>
  </si>
  <si>
    <t>Objetivo: Pruebas de resiliencia (chaos/failover), simulación de fallas, calibración de umbrales + piloto controlado.</t>
  </si>
  <si>
    <t>Plan y evidencias de pruebas de resiliencia (fallas simuladas, recuperación, calibración umbrales) + UAT. | Plan de operación: responsables, cadencia de revisión, calibración, governance.</t>
  </si>
  <si>
    <t>A1: Definir el alcance UX/UI del módulo (entry point permanente, elegibilidad, copy, consentimientos) y su convivencia con el banner.</t>
  </si>
  <si>
    <t>Objetivo: Definir el alcance UX/UI del módulo (entry point permanente, elegibilidad, copy, consentimientos) y su convivencia con el banner.</t>
  </si>
  <si>
    <t>Diseño UX/UI del módulo permanente en TAPP (wireframes, copy, reglas de visibilidad y navegación). | Requerimientos y modelo de datos mínimos + consentimientos/autorizaciones para iniciar solicitud.</t>
  </si>
  <si>
    <t>Canales Digitales (TAPP) (owner), Ger. Comercial/Producto, Ger. Riesgo (ruteo sin oferta)</t>
  </si>
  <si>
    <t>A2: Diseñar el ruteo TO-BE en TAPP: con oferta → Express/Normal; sin oferta → pre-evaluación FICO; NO OK → mensaje/fin.</t>
  </si>
  <si>
    <t>Objetivo: Diseñar el ruteo TO-BE en TAPP: con oferta → Express/Normal; sin oferta → pre-evaluación FICO; NO OK → mensaje/fin.</t>
  </si>
  <si>
    <t>Diseño funcional de ruteo TO-BE en TAPP (con oferta/Express/Normal vs sin oferta/pre-FICO vs NO OK). | Diseño UX/UI del módulo permanente en TAPP (wireframes, copy, reglas de visibilidad y navegación).</t>
  </si>
  <si>
    <t>A3: Definir datos mínimos a capturar en TAPP para iniciar “por demanda” (identificación, contacto, autorización, etc.).</t>
  </si>
  <si>
    <t>Objetivo: Definir datos mínimos a capturar en TAPP para iniciar “por demanda” (identificación, contacto, autorización, etc.).</t>
  </si>
  <si>
    <t>Requerimientos y modelo de datos mínimos + consentimientos/autorizaciones para iniciar solicitud. | Diseño UX/UI del módulo permanente en TAPP (wireframes, copy, reglas de visibilidad y navegación).</t>
  </si>
  <si>
    <t>A4: Implementar integraciones: microservicio de derivación (INI-05 si aplica), pre-evaluación FICO (INI-01), y continuidad hacia simulación/oferta dinámica.</t>
  </si>
  <si>
    <t>Objetivo: Implementar integraciones: microservicio de derivación (INI-05 si aplica), pre-evaluación FICO (INI-01), y continuidad hacia simulación/oferta dinámica.</t>
  </si>
  <si>
    <t>Especificación de integraciones/APIs (derivación INI-05, pre-FICO INI-01, INI-02 si corresponde, simulación). | Implementación en TAPP (front + back) con feature flags y configuración por ambiente.</t>
  </si>
  <si>
    <t>TI Mobile/Integración, Proveedor FICO/Ventiv</t>
  </si>
  <si>
    <t>A5: Implementar instrumentación de eventos (inicio, paso de etapa, decisión, abandono, errores) para funnel y abandono (INI-09/10).</t>
  </si>
  <si>
    <t>Objetivo: Implementar instrumentación de eventos (inicio, paso de etapa, decisión, abandono, errores) para funnel y abandono (INI-09/10).</t>
  </si>
  <si>
    <t>Esquema de instrumentación (eventos y motivos) alineado a funnel/abandono (INI-09/10). | Implementación en TAPP (front + back) con feature flags y configuración por ambiente.</t>
  </si>
  <si>
    <t>1 Desarrollador Backend (100%) | 1 QA/Tester (25%) | 1 Coordinador Proveedor FICO/Ventiv (25%)</t>
  </si>
  <si>
    <t>A6: Pruebas, piloto y despliegue gradual (feature flags, cohortes, monitoreo de conversión y performance).</t>
  </si>
  <si>
    <t>Objetivo: Pruebas, piloto y despliegue gradual (feature flags, cohortes, monitoreo de conversión y performance).</t>
  </si>
  <si>
    <t>Plan y evidencias de pruebas (funcionales, seguridad, performance, E2E) + UAT. | Tablero de monitoreo (uso del módulo, conversión por ruta, abandonos, errores, latencia) + alertas.</t>
  </si>
  <si>
    <t>A1: Definir qué significa “retomar exactamente”: datos a persistir (inputs, oferta seleccionada, resultados parciales, pantalla/paso).</t>
  </si>
  <si>
    <t>Objetivo: Definir qué significa “retomar exactamente”: datos a persistir (inputs, oferta seleccionada, resultados parciales, pantalla/paso).</t>
  </si>
  <si>
    <t>Definición funcional de estado de simulación a persistir + criterios de “resume” (exactitud, caducidad, restricciones).</t>
  </si>
  <si>
    <t>Canales Digitales (TAPP/SVP), Operaciones (soporte)</t>
  </si>
  <si>
    <t>A2: Definir el modelo de sesión: ID de simulación, vinculación a cliente, multi-dispositivo, concurrencia, y caducidad (TTL).</t>
  </si>
  <si>
    <t>Objetivo: Definir el modelo de sesión: ID de simulación, vinculación a cliente, multi-dispositivo, concurrencia, y caducidad (TTL).</t>
  </si>
  <si>
    <t>Definición funcional de estado de simulación a persistir + criterios de “resume” (exactitud, caducidad, restricciones). | Diseño del modelo de sesión (IDs, TTL, concurrencia, multi-canal si aplica) y reglas de recuperación.</t>
  </si>
  <si>
    <t>A3: Diseñar e implementar el session store (API guardar/leer), con guardado incremental (autosave) y versionado.</t>
  </si>
  <si>
    <t>Objetivo: Diseñar e implementar el session store (API guardar/leer), con guardado incremental (autosave) y versionado.</t>
  </si>
  <si>
    <t>Implementación del Session Store (persistencia, cifrado, auditoría, configuración por ambiente). | Implementación en TAPP y SVP (autosave, rehidratación de UI, mensajes al cliente).</t>
  </si>
  <si>
    <t>TI Arquitectura/Integración, TI Mobile, Seguridad/Ciber (PII)</t>
  </si>
  <si>
    <t>1 PM/Scrum Master (25%) | 1 Arquitecto de Soluciones (50%) | 2 Desarrolladores Backend (100%) | 1 QA/Tester (50%)</t>
  </si>
  <si>
    <t>A4: Integrar TAPP/SVP para autosave y resume (al abrir: detectar sesión vigente y rehidratar pantalla/estado).</t>
  </si>
  <si>
    <t>Objetivo: Integrar TAPP/SVP para autosave y resume (al abrir: detectar sesión vigente y rehidratar pantalla/estado).</t>
  </si>
  <si>
    <t>Definición funcional de estado de simulación a persistir + criterios de “resume” (exactitud, caducidad, restricciones). | Implementación en TAPP y SVP (autosave, rehidratación de UI, mensajes al cliente).</t>
  </si>
  <si>
    <t>A5: Definir manejo de errores y seguridad: cifrado, PII, consentimiento, límites de reintentos, “limpiar sesión” si corresponde.</t>
  </si>
  <si>
    <t>Objetivo: Definir manejo de errores y seguridad: cifrado, PII, consentimiento, límites de reintentos, “limpiar sesión” si corresponde.</t>
  </si>
  <si>
    <t>A6: Pruebas de recuperación: caída de app, timeout, caída backend, reconexión, performance y casos límite.</t>
  </si>
  <si>
    <t>Objetivo: Pruebas de recuperación: caída de app, timeout, caída backend, reconexión, performance y casos límite.</t>
  </si>
  <si>
    <t>Plan y evidencias de pruebas (E2E, performance, resiliencia, seguridad/PII) + UAT. | Diseño del modelo de sesión (IDs, TTL, concurrencia, multi-canal si aplica) y reglas de recuperación.</t>
  </si>
  <si>
    <t>A1: Definir qué es “solicitud interrumpida” y reglas de elegibilidad para notificar (etapas, TTL, opt-in, canal disponible).</t>
  </si>
  <si>
    <t>Objetivo: Definir qué es “solicitud interrumpida” y reglas de elegibilidad para notificar (etapas, TTL, opt-in, canal disponible).</t>
  </si>
  <si>
    <t>Definición funcional: criterios de interrupción, elegibilidad, ventanas, opt-in/consentimiento y TTL de retoma. | Plantillas de mensajería (push/email/SMS) + reglas de personalización y copy legal/compliance.</t>
  </si>
  <si>
    <t>Canales Digitales (TAPP/SVP), Operaciones (gatillo operacional y comunicaciones), Seguridad/Compliance (opt-in y contenido)</t>
  </si>
  <si>
    <t>A2: Definir el gatillo de recuperación (cómo se detecta “servicio restablecido”: monitoreo, evento ITSM, health-check) y ventanas de envío.</t>
  </si>
  <si>
    <t>Objetivo: Definir el gatillo de recuperación (cómo se detecta “servicio restablecido”: monitoreo, evento ITSM, health-check) y ventanas de envío.</t>
  </si>
  <si>
    <t>Diseño del mecanismo de gatillo post-recuperación (evento, fuente, gobernanza con TI/Operaciones). | Definición funcional: criterios de interrupción, elegibilidad, ventanas, opt-in/consentimiento y TTL de retoma.</t>
  </si>
  <si>
    <t>TI Integración/Arquitectura, Proveedor mensajería (Push/SMS/Email), Seguridad/Compliance (opt-in y contenido)</t>
  </si>
  <si>
    <t>1 Desarrollador Backend (100%) | 1 QA/Tester (25%) | 1 Ingeniero SRE/Observabilidad (50%)</t>
  </si>
  <si>
    <t>A3: Diseñar el listado de afectados (consulta a store de estado/solicitudes: INI-15/INI-07) y deduplicación por cliente.</t>
  </si>
  <si>
    <t>Objetivo: Diseñar el listado de afectados (consulta a store de estado/solicitudes: INI-15/INI-07) y deduplicación por cliente.</t>
  </si>
  <si>
    <t>Diseño del modelo de selección de afectados (query, deduplicación, priorización por etapa/canal). | Diseño del mecanismo de gatillo post-recuperación (evento, fuente, gobernanza con TI/Operaciones).</t>
  </si>
  <si>
    <t>A4: Diseñar mensajes y journeys: contenido por canal (push/email/SMS), deep link a TAPP/SVP, y manejo de “link expirado”.</t>
  </si>
  <si>
    <t>Objetivo: Diseñar mensajes y journeys: contenido por canal (push/email/SMS), deep link a TAPP/SVP, y manejo de “link expirado”.</t>
  </si>
  <si>
    <t>A5: Implementar orquestación de notificaciones (proveedor push, gateway SMS/email), seguridad y trazabilidad de envíos.</t>
  </si>
  <si>
    <t>Objetivo: Implementar orquestación de notificaciones (proveedor push, gateway SMS/email), seguridad y trazabilidad de envíos.</t>
  </si>
  <si>
    <t>Implementación del servicio/orquestador de notificaciones + integraciones con proveedores y stores de estado. | Plantillas de mensajería (push/email/SMS) + reglas de personalización y copy legal/compliance.</t>
  </si>
  <si>
    <t>1 Arquitecto de Soluciones (25%) | 1 Desarrollador Backend (100%) | 1 QA/Tester (50%) | 1 Especialista Integración/Camel (50%) | 1 Especialista Ciberseguridad (25%)</t>
  </si>
  <si>
    <t>A6: Pruebas y piloto: escenarios de caída/recuperación, volumen, reintentos, tasas de entrega y conversión post-notificación.</t>
  </si>
  <si>
    <t>Objetivo: Pruebas y piloto: escenarios de caída/recuperación, volumen, reintentos, tasas de entrega y conversión post-notificación.</t>
  </si>
  <si>
    <t>Diseño del mecanismo de gatillo post-recuperación (evento, fuente, gobernanza con TI/Operaciones). | Plan y evidencias de pruebas (E2E, carga, seguridad/PII, contingencias) + UAT.</t>
  </si>
  <si>
    <t>A1: Inventario de reglas v4 pendientes de migración: Levantar todas las reglas, modelos y configuraciones que aún residen en Blaze v4/Nashorn</t>
  </si>
  <si>
    <t>Objetivo: Inventario de reglas v4 pendientes de migración.
Resultado esperado: Levantar todas las reglas, modelos y configuraciones que aún residen en Blaze v4/Nashorn</t>
  </si>
  <si>
    <t>Inventario de reglas v4 con estado de migración</t>
  </si>
  <si>
    <t>Ger. Riesgo (owner funcional)</t>
  </si>
  <si>
    <t>1 Analista Funcional (100%) | 1 Especialista Riesgo (50%)</t>
  </si>
  <si>
    <t>A2: Migración y validación de paridad funcional: Migrar cada regla a v7, ejecutar pruebas A/B comparando resultados v4 vs v7 con mismo set de datos</t>
  </si>
  <si>
    <t>Objetivo: Migración y validación de paridad funcional.
Resultado esperado: Migrar cada regla a v7, ejecutar pruebas A/B comparando resultados v4 vs v7 con mismo set de datos</t>
  </si>
  <si>
    <t>Inventario de reglas v4 con estado de migración | Reporte de pruebas de paridad funcional A/B</t>
  </si>
  <si>
    <t>4-6 semanas</t>
  </si>
  <si>
    <t>1 Líder/PM de Iniciativa (50%) | 1 Analista Funcional (50%) | 1 Desarrollador Backend (50%) | 1 QA/Tester (50%) | 1 QA Lead (50%) | Usuarios de Negocio para UAT (25%) | 1 Especialista FICO/Blaze (100%) | 1 Coordinador Proveedor FICO/Ventiv (50%)</t>
  </si>
  <si>
    <t>A3: Apagado de v4 y Nashorn: Plan de deprecación con rollback, fecha de corte, comunicación a equipos</t>
  </si>
  <si>
    <t>Objetivo: Apagado de v4 y Nashorn.
Resultado esperado: Plan de deprecación con rollback, fecha de corte, comunicación a equipos</t>
  </si>
  <si>
    <t>Plan de deprecación v4 con cronograma y rollback</t>
  </si>
  <si>
    <t>A4: Estabilización post-migración: Monitoreo reforzado 30 días post-apagado, validación de métricas de error</t>
  </si>
  <si>
    <t>Objetivo: Estabilización post-migración.
Resultado esperado: Monitoreo reforzado 30 días post-apagado, validación de métricas de error</t>
  </si>
  <si>
    <t>Inventario de reglas v4 con estado de migración | Reporte post-mortem de estabilización</t>
  </si>
  <si>
    <t>A1: Diseño del servicio de precálculo: Arquitectura GCP, contratos API, lógica de filtrado</t>
  </si>
  <si>
    <t>Objetivo: Diseño del servicio de precálculo.
Resultado esperado: Arquitectura GCP, contratos API, lógica de filtrado</t>
  </si>
  <si>
    <t>Documento de diseño del servicio de precálculo | Contratos API documentados</t>
  </si>
  <si>
    <t>TI Desarrollo</t>
  </si>
  <si>
    <t>A2: Desarrollo de 4 Jobs por dominio: Job Cliente, Job Producto, Job Riesgo, Job Cobranza</t>
  </si>
  <si>
    <t>Objetivo: Desarrollo de 4 Jobs por dominio.
Resultado esperado: Job Cliente, Job Producto, Job Riesgo, Job Cobranza</t>
  </si>
  <si>
    <t>4 Jobs desarrollados y desplegados en GCP</t>
  </si>
  <si>
    <t>A3: Configuración de 3 puntos de entrada Blaze: Reglas → Modelo → Oferta</t>
  </si>
  <si>
    <t>Objetivo: Configuración de 3 puntos de entrada Blaze.
Resultado esperado: Reglas → Modelo → Oferta</t>
  </si>
  <si>
    <t>Ger. Riesgo, Ger. Producto, Ger. Clientes, Ger. Cobranza</t>
  </si>
  <si>
    <t>A4: Integración con flujo existente: Conexión con OSB (TO-BE 1) o Camel (TO-BE 2)</t>
  </si>
  <si>
    <t>Objetivo: Integración con flujo existente.
Resultado esperado: Conexión con OSB (TO-BE 1) o Camel (TO-BE 2)</t>
  </si>
  <si>
    <t>1 Desarrollador Backend (100%) | 1 QA/Tester (25%) | 1 Ingeniero Cloud GCP (50%) | 1 Especialista Integración/Camel (50%)</t>
  </si>
  <si>
    <t>A5: Pruebas de carga y validación: Simular volúmenes reales con clientes sin oferta</t>
  </si>
  <si>
    <t>Objetivo: Pruebas de carga y validación.
Resultado esperado: Simular volúmenes reales con clientes sin oferta</t>
  </si>
  <si>
    <t>Reporte de pruebas de carga</t>
  </si>
  <si>
    <t>A1: Análisis del Servicio 147: Mapear todas las funciones, dependencias y consumidores del Servicio 147</t>
  </si>
  <si>
    <t>Objetivo: Análisis del Servicio 147.
Resultado esperado: Mapear todas las funciones, dependencias y consumidores del Servicio 147</t>
  </si>
  <si>
    <t>Análisis de impacto del Servicio 147 | evalScoring como servicio independiente</t>
  </si>
  <si>
    <t>TI Desarrollo, Proveedor Siebel</t>
  </si>
  <si>
    <t>A2: Diseño del MS Lógica Crédito: Arquitectura microservicio GCP, contratos, circuit breaker</t>
  </si>
  <si>
    <t>Objetivo: Diseño del MS Lógica Crédito.
Resultado esperado: Arquitectura microservicio GCP, contratos, circuit breaker</t>
  </si>
  <si>
    <t>MS Lógica Crédito desplegado en GCP</t>
  </si>
  <si>
    <t>A3: Extracción de evalScoring de Siebel: Desarrollar servicio independiente de scoring</t>
  </si>
  <si>
    <t>Objetivo: Extracción de evalScoring de Siebel.
Resultado esperado: Desarrollar servicio independiente de scoring</t>
  </si>
  <si>
    <t>evalScoring como servicio independiente | Análisis de impacto del Servicio 147</t>
  </si>
  <si>
    <t>1 PM/Scrum Master (25%) | 1 Arquitecto de Soluciones (50%) | 2 Desarrolladores Backend (100%) | 1 QA/Tester (50%) | 1 Ingeniero Cloud GCP (50%)</t>
  </si>
  <si>
    <t>A4: Desarrollo y despliegue en GCP: Implementación, testing, despliegue</t>
  </si>
  <si>
    <t>Objetivo: Desarrollo y despliegue en GCP.
Resultado esperado: Implementación, testing, despliegue</t>
  </si>
  <si>
    <t>A5: Migración de consumidores: Redirigir todos los consumidores del Servicio 147 al MS nuevo</t>
  </si>
  <si>
    <t>Objetivo: Migración de consumidores.
Resultado esperado: Redirigir todos los consumidores del Servicio 147 al MS nuevo</t>
  </si>
  <si>
    <t>Plan de migración de consumidores | Análisis de impacto del Servicio 147</t>
  </si>
  <si>
    <t>A1: Mapeo de canales actuales y contratos: Inventario de endpoints, formatos, protocolos por canal</t>
  </si>
  <si>
    <t>Objetivo: Mapeo de canales actuales y contratos.
Resultado esperado: Inventario de endpoints, formatos, protocolos por canal</t>
  </si>
  <si>
    <t>Canales migrados a Apigee</t>
  </si>
  <si>
    <t>TI Arquitectura, TI Desarrollo</t>
  </si>
  <si>
    <t>A2: Diseño de API Gateway en Apigee: Políticas de rate limiting, throttling, seguridad, contratos estándar</t>
  </si>
  <si>
    <t>Objetivo: Diseño de API Gateway en Apigee.
Resultado esperado: Políticas de rate limiting, throttling, seguridad, contratos estándar</t>
  </si>
  <si>
    <t>Diseño de API Gateway con políticas | Canales migrados a Apigee</t>
  </si>
  <si>
    <t>1 Desarrollador Backend (100%) | 1 QA/Tester (25%) | 1 Especialista API Management (50%) | 1 Especialista Ciberseguridad (25%)</t>
  </si>
  <si>
    <t>A3: Migración de canales a Apigee: Presencial (Siebel) y Digital (TAPP) convergen a Apigee</t>
  </si>
  <si>
    <t>Objetivo: Migración de canales a Apigee.
Resultado esperado: Presencial (Siebel) y Digital (TAPP) convergen a Apigee</t>
  </si>
  <si>
    <t>1 Desarrollador Backend (100%) | 1 QA/Tester (25%) | 1 Especialista API Management (50%)</t>
  </si>
  <si>
    <t>A4: Pruebas de carga con rate limiting: Validar que Apigee protege al motor bajo picos</t>
  </si>
  <si>
    <t>Objetivo: Pruebas de carga con rate limiting.
Resultado esperado: Validar que Apigee protege al motor bajo picos</t>
  </si>
  <si>
    <t>Reporte de pruebas de carga | Canales migrados a Apigee</t>
  </si>
  <si>
    <t>A1: Desarrollo de flujos de datos para cada Job: Conexiones a fuentes de datos por dominio</t>
  </si>
  <si>
    <t>Objetivo: Desarrollo de flujos de datos para cada Job.
Resultado esperado: Conexiones a fuentes de datos por dominio</t>
  </si>
  <si>
    <t>Flujos de datos para 4 Jobs implementados</t>
  </si>
  <si>
    <t>TI Desarrollo, TI Arquitectura</t>
  </si>
  <si>
    <t>A2: Inventario completo de servicios OSB: Cada servicio EAI con: función, dependencias, consumidores, volumetría</t>
  </si>
  <si>
    <t>Objetivo: Inventario completo de servicios OSB.
Resultado esperado: Cada servicio EAI con: función, dependencias, consumidores, volumetría</t>
  </si>
  <si>
    <t>Inventario de servicios OSB documentado</t>
  </si>
  <si>
    <t>A3: Análisis de migración a microservicios: Priorización de servicios para migración, complejidad, riesgo</t>
  </si>
  <si>
    <t>Objetivo: Análisis de migración a microservicios.
Resultado esperado: Priorización de servicios para migración, complejidad, riesgo</t>
  </si>
  <si>
    <t>Plan de migración priorizado a microservicios | Flujos de datos para 4 Jobs implementados</t>
  </si>
  <si>
    <t>A4: Documentación de contratos actuales: Contratos de entrada/salida de cada servicio EAI</t>
  </si>
  <si>
    <t>Objetivo: Documentación de contratos actuales.
Resultado esperado: Contratos de entrada/salida de cada servicio EAI</t>
  </si>
  <si>
    <t>A5: Definición de responsables funcionales por Job: Asignar owner por dominio: Job Cliente → Ger. Clientes, Job Producto → Ger. Producto, Job Riesgo → Ger. Riesgo, Job Cobranza → Ger. Cobranza. Definir responsable de calidad de datos y protocolo de escalamiento.</t>
  </si>
  <si>
    <t>Objetivo: Definición de responsables funcionales por Job.
Resultado esperado: Asignar owner por dominio: Job Cliente → Ger. Clientes, Job Producto → Ger. Producto, Job Riesgo → Ger. Riesgo, Job Cobranza → Ger. Cobranza. Definir responsable de calidad de datos y protocolo de escalamiento.</t>
  </si>
  <si>
    <t>Ger. Riesgo, Ger. Producto</t>
  </si>
  <si>
    <t>A1: Diseño de arquitectura Camel en GCP: Topología, circuit breaker, retry, dead letter queue</t>
  </si>
  <si>
    <t>Objetivo: Diseño de arquitectura Camel en GCP.
Resultado esperado: Topología, circuit breaker, retry, dead letter queue</t>
  </si>
  <si>
    <t>Arquitectura Camel documentada | Rutas Camel desplegadas en GCP</t>
  </si>
  <si>
    <t>1 Desarrollador Backend (100%) | 1 QA/Tester (25%) | 1 Ingeniero Cloud GCP (50%) | 1 Especialista Integración/Camel (50%) | 1 Coordinador Proveedor Sonda (25%)</t>
  </si>
  <si>
    <t>A2: Desarrollo de rutas Camel para primeros servicios: Migrar servicios prioritarios del bus</t>
  </si>
  <si>
    <t>Objetivo: Desarrollo de rutas Camel para primeros servicios.
Resultado esperado: Migrar servicios prioritarios del bus</t>
  </si>
  <si>
    <t>Rutas Camel desplegadas en GCP | Arquitectura Camel documentada</t>
  </si>
  <si>
    <t>1 Arquitecto de Soluciones (25%) | 1 Desarrollador Backend (100%) | 1 QA/Tester (50%) | 1 Especialista Integración/Camel (50%) | 1 Coordinador Proveedor Sonda (25%)</t>
  </si>
  <si>
    <t>A3: Configuración de convivencia Camel + OSB: Proxy y routing para que ambos coexistan</t>
  </si>
  <si>
    <t>Objetivo: Configuración de convivencia Camel + OSB.
Resultado esperado: Proxy y routing para que ambos coexistan</t>
  </si>
  <si>
    <t>Configuración de convivencia | Arquitectura Camel documentada</t>
  </si>
  <si>
    <t>1 Desarrollador Backend (100%) | 1 QA/Tester (25%) | 1 Especialista Integración/Camel (50%) | 1 Coordinador Proveedor Sonda (25%) | 1 Especialista Integración/Camel (100%)</t>
  </si>
  <si>
    <t>A4: Catálogo SOA de servicios migrados: Documentar cada servicio en el catálogo</t>
  </si>
  <si>
    <t>Objetivo: Catálogo SOA de servicios migrados.
Resultado esperado: Documentar cada servicio en el catálogo</t>
  </si>
  <si>
    <t>Catálogo SOA de servicios | Arquitectura Camel documentada</t>
  </si>
  <si>
    <t>1 Desarrollador Backend (100%) | 1 QA/Tester (25%) | 1 Coordinador Proveedor Sonda (25%)</t>
  </si>
  <si>
    <t>A5: (TO-BE 3) Apagado definitivo de OSB: Migración completa y decomisión de OSB</t>
  </si>
  <si>
    <t>Objetivo: (TO-BE 3) Apagado definitivo de OSB.
Resultado esperado: Migración completa y decomisión de OSB</t>
  </si>
  <si>
    <t>Acta de decomisión de OSB</t>
  </si>
  <si>
    <t>A1: Diseño de capa de caché Redis: Políticas de TTL, invalidación, warm-up</t>
  </si>
  <si>
    <t>Objetivo: Diseño de capa de caché Redis.
Resultado esperado: Políticas de TTL, invalidación, warm-up</t>
  </si>
  <si>
    <t>Capa de caché Redis desplegada | Documentación de políticas de caché</t>
  </si>
  <si>
    <t>1 Desarrollador Backend (100%) | 1 QA/Tester (25%) | 1 Ingeniero Cloud GCP (50%) | 1 Ingeniero Datos/Cache (50%)</t>
  </si>
  <si>
    <t>A2: Desarrollo de pipeline Redis → Job → BD Corporativa: Flujo asíncrono de auditoría</t>
  </si>
  <si>
    <t>Objetivo: Desarrollo de pipeline Redis → Job → BD Corporativa.
Resultado esperado: Flujo asíncrono de auditoría</t>
  </si>
  <si>
    <t>Pipeline de auditoría operativo | Capa de caché Redis desplegada</t>
  </si>
  <si>
    <t>1 Desarrollador Backend (100%) | 1 QA/Tester (25%) | 1 Ingeniero Cloud GCP (50%) | 1 Ingeniero Datos/Cache (50%) | 1 DevOps/SRE (50%)</t>
  </si>
  <si>
    <t>A3: Integración con flujo de crédito: Caché en puntos de alta invocación</t>
  </si>
  <si>
    <t>Objetivo: Integración con flujo de crédito.
Resultado esperado: Caché en puntos de alta invocación</t>
  </si>
  <si>
    <t>Ger. Riesgo (fraude)</t>
  </si>
  <si>
    <t>A4: Dashboard de auditoría: Visualización de transacciones registradas</t>
  </si>
  <si>
    <t>Objetivo: Dashboard de auditoría.
Resultado esperado: Visualización de transacciones registradas</t>
  </si>
  <si>
    <t>Dashboard de auditoría | Pipeline de auditoría operativo</t>
  </si>
  <si>
    <t>1 Desarrollador Backend (100%) | 1 QA/Tester (25%) | 1 Ingeniero Cloud GCP (50%) | 1 Ingeniero SRE/Observabilidad (50%)</t>
  </si>
  <si>
    <t>INI-26</t>
  </si>
  <si>
    <t>A1: Identificar consultas BigQuery en camino crítico: Mapear qué datos se consultan sincrónicamente</t>
  </si>
  <si>
    <t>Objetivo: Identificar consultas BigQuery en camino crítico.
Resultado esperado: Mapear qué datos se consultan sincrónicamente</t>
  </si>
  <si>
    <t>Mapa de consultas BigQuery en camino crítico | Consultas analíticas en modo asíncrono</t>
  </si>
  <si>
    <t>TI Datos, TI Desarrollo</t>
  </si>
  <si>
    <t>A2: Diseñar caché local: Estructura de caché para datos requeridos en tiempo real</t>
  </si>
  <si>
    <t>Objetivo: Diseñar caché local.
Resultado esperado: Estructura de caché para datos requeridos en tiempo real</t>
  </si>
  <si>
    <t>Caché local implementada</t>
  </si>
  <si>
    <t>A3: Migrar consultas analíticas a modo asíncrono: Batch/streaming fuera del flujo principal</t>
  </si>
  <si>
    <t>Objetivo: Migrar consultas analíticas a modo asíncrono.
Resultado esperado: Batch/streaming fuera del flujo principal</t>
  </si>
  <si>
    <t>Consultas analíticas en modo asíncrono | Mapa de consultas BigQuery en camino crítico</t>
  </si>
  <si>
    <t>1 Arquitecto de Soluciones (25%) | 1 Desarrollador Backend (100%) | 1 QA/Tester (50%) | 1 Ingeniero Cloud GCP (50%)</t>
  </si>
  <si>
    <t>A4: Validar que flujo funciona sin BigQuery síncrono: Pruebas de desconexión</t>
  </si>
  <si>
    <t>Objetivo: Validar que flujo funciona sin BigQuery síncrono.
Resultado esperado: Pruebas de desconexión</t>
  </si>
  <si>
    <t>Reporte de pruebas de resiliencia | Mapa de consultas BigQuery en camino crítico</t>
  </si>
  <si>
    <t>A1: Levantamiento de herramientas de monitoreo actuales: Qué se monitorea hoy, con qué herramientas, qué gaps hay</t>
  </si>
  <si>
    <t>Objetivo: Levantamiento de herramientas de monitoreo actuales.
Resultado esperado: Qué se monitorea hoy, con qué herramientas, qué gaps hay</t>
  </si>
  <si>
    <t>A2: Definición de métricas clave por componente: KPIs técnicos y de negocio por cada sistema</t>
  </si>
  <si>
    <t>Objetivo: Definición de métricas clave por componente.
Resultado esperado: KPIs técnicos y de negocio por cada sistema</t>
  </si>
  <si>
    <t>Catálogo de métricas clave por componente</t>
  </si>
  <si>
    <t>1 Desarrollador Backend (100%) | 1 QA/Tester (25%) | 1 Ingeniero Cloud GCP (50%) | 1 Especialista Oracle/OCI (50%)</t>
  </si>
  <si>
    <t>A3: Diseño del cuadro de mando integral: Dashboard que integre métricas de todos los componentes</t>
  </si>
  <si>
    <t>Objetivo: Diseño del cuadro de mando integral.
Resultado esperado: Dashboard que integre métricas de todos los componentes</t>
  </si>
  <si>
    <t>Diseño del cuadro de mando integral | Catálogo de métricas clave por componente</t>
  </si>
  <si>
    <t>A4: Implementación de alertas básicas: Reglas de alerta para métricas críticas</t>
  </si>
  <si>
    <t>Objetivo: Implementación de alertas básicas.
Resultado esperado: Reglas de alerta para métricas críticas</t>
  </si>
  <si>
    <t>Alertas básicas configuradas | Catálogo de métricas clave por componente</t>
  </si>
  <si>
    <t>A1: Implementación de OpenTelemetry en componentes GCP: Instrumentación de microservicios y Camel</t>
  </si>
  <si>
    <t>Objetivo: Implementación de OpenTelemetry en componentes GCP.
Resultado esperado: Instrumentación de microservicios y Camel</t>
  </si>
  <si>
    <t>OpenTelemetry desplegado en GCP y legacy | Documentación de instrumentación</t>
  </si>
  <si>
    <t>1 Desarrollador Backend (100%) | 1 QA/Tester (25%) | 1 Ingeniero Cloud GCP (50%) | 1 Especialista Integración/Camel (50%) | 1 Ingeniero SRE/Observabilidad (50%)</t>
  </si>
  <si>
    <t>A2: Instrumentación de componentes legacy: Agentes/exporters para OCI, OSB, Siebel</t>
  </si>
  <si>
    <t>Objetivo: Instrumentación de componentes legacy.
Resultado esperado: Agentes/exporters para OCI, OSB, Siebel</t>
  </si>
  <si>
    <t>A3: Desarrollo de dashboards operativos y de negocio: Grafana/Cloud Monitoring con métricas técnicas y funcionales</t>
  </si>
  <si>
    <t>Objetivo: Desarrollo de dashboards operativos y de negocio.
Resultado esperado: Grafana/Cloud Monitoring con métricas técnicas y funcionales</t>
  </si>
  <si>
    <t>Dashboards operativos y de negocio</t>
  </si>
  <si>
    <t>1 Desarrollador Backend (100%) | 1 QA/Tester (25%) | 1 Ingeniero Cloud GCP (50%) | 1 Especialista Oracle/OCI (50%) | 1 Ingeniero SRE/Observabilidad (50%)</t>
  </si>
  <si>
    <t>A4: Actualización de CMDB: Inventario completo de servicios, dependencias, owners</t>
  </si>
  <si>
    <t>Objetivo: Actualización de CMDB.
Resultado esperado: Inventario completo de servicios, dependencias, owners</t>
  </si>
  <si>
    <t>CMDB actualizada</t>
  </si>
  <si>
    <t>A1: Revisión de contratos actuales: Identificar qué SLAs existen y cuáles faltan</t>
  </si>
  <si>
    <t>Objetivo: Revisión de contratos actuales.
Resultado esperado: Identificar qué SLAs existen y cuáles faltan</t>
  </si>
  <si>
    <t>Diagnóstico de SLAs actuales | Contratos de SLA firmados por proveedor</t>
  </si>
  <si>
    <t>Proveedores</t>
  </si>
  <si>
    <t>A2: Definición de métricas de SLA por proveedor: Disponibilidad, tiempo de respuesta, tiempo de resolución</t>
  </si>
  <si>
    <t>Objetivo: Definición de métricas de SLA por proveedor.
Resultado esperado: Disponibilidad, tiempo de respuesta, tiempo de resolución</t>
  </si>
  <si>
    <t>Contratos de SLA firmados por proveedor</t>
  </si>
  <si>
    <t>A3: Negociación con proveedores: Nuevos SLAs con penalties y escalamiento</t>
  </si>
  <si>
    <t>Objetivo: Negociación con proveedores.
Resultado esperado: Nuevos SLAs con penalties y escalamiento</t>
  </si>
  <si>
    <t>Diagnóstico de SLAs actuales | Dashboard de monitoreo de SLAs</t>
  </si>
  <si>
    <t>1 Desarrollador Backend (100%) | 1 QA/Tester (25%) | 1 Especialista Oracle/OCI (50%)</t>
  </si>
  <si>
    <t>A4: Implementación de monitoreo de SLAs: Dashboard de cumplimiento de SLAs</t>
  </si>
  <si>
    <t>Objetivo: Implementación de monitoreo de SLAs.
Resultado esperado: Dashboard de cumplimiento de SLAs</t>
  </si>
  <si>
    <t>Dashboard de monitoreo de SLAs | Diagnóstico de SLAs actuales</t>
  </si>
  <si>
    <t>A1: Identificación de personas clave y conocimiento exclusivo: Mapear quién sabe qué y qué pasa si no está</t>
  </si>
  <si>
    <t>Objetivo: Identificación de personas clave y conocimiento exclusivo.
Resultado esperado: Mapear quién sabe qué y qué pasa si no está</t>
  </si>
  <si>
    <t>Mapa de personas clave y conocimiento crítico</t>
  </si>
  <si>
    <t>TI Operaciones</t>
  </si>
  <si>
    <t>A2: Desarrollo de runbooks por componente: Procedimientos paso a paso para operación y recuperación</t>
  </si>
  <si>
    <t>Objetivo: Desarrollo de runbooks por componente.
Resultado esperado: Procedimientos paso a paso para operación y recuperación</t>
  </si>
  <si>
    <t>Runbooks por componente</t>
  </si>
  <si>
    <t>A3: Diseño y prueba de DRP: Plan de recuperación ante desastres con simulacro</t>
  </si>
  <si>
    <t>Objetivo: Diseño y prueba de DRP.
Resultado esperado: Plan de recuperación ante desastres con simulacro</t>
  </si>
  <si>
    <t>Plan de capacitación cruzada</t>
  </si>
  <si>
    <t>A4: Programa de formación de backups: Capacitación cruzada para eliminar dependencias</t>
  </si>
  <si>
    <t>Objetivo: Programa de formación de backups.
Resultado esperado: Capacitación cruzada para eliminar dependencias</t>
  </si>
  <si>
    <t>1 Líder/PM de Iniciativa (50%) | 1 Analista Funcional (50%) | 1 Especialista Change Management (50%)</t>
  </si>
  <si>
    <t>A1: Inventario de componentes obsoletos: Versión actual, soporte, riesgo, alternativa</t>
  </si>
  <si>
    <t>Objetivo: Inventario de componentes obsoletos.
Resultado esperado: Versión actual, soporte, riesgo, alternativa</t>
  </si>
  <si>
    <t>Inventario de obsolescencia con riesgos | Componentes actualizados/reemplazados</t>
  </si>
  <si>
    <t>1 Desarrollador Backend (100%) | 1 QA/Tester (25%) | 1 Especialista Oracle/OCI (50%) | 1 Coordinador Proveedor Sonda (25%)</t>
  </si>
  <si>
    <t>A2: Plan de actualización priorizado: Orden de migración por criticidad y complejidad</t>
  </si>
  <si>
    <t>Objetivo: Plan de actualización priorizado.
Resultado esperado: Orden de migración por criticidad y complejidad</t>
  </si>
  <si>
    <t>Plan de modernización priorizado</t>
  </si>
  <si>
    <t>TI Infraestructura, TI Arquitectura</t>
  </si>
  <si>
    <t>A3: Migración de Oracle 12 + WebLogic: Actualizar o reemplazar por alternativas containerizadas</t>
  </si>
  <si>
    <t>Objetivo: Migración de Oracle 12 + WebLogic.
Resultado esperado: Actualizar o reemplazar por alternativas containerizadas</t>
  </si>
  <si>
    <t>6-10 semanas</t>
  </si>
  <si>
    <t>1 Arquitecto de Soluciones (25%) | 1 Desarrollador Backend (100%) | 1 QA/Tester (50%) | 1 Especialista Oracle/OCI (50%) | 1 Coordinador Proveedor Sonda (25%) | 1 Especialista Oracle/WebLogic (100%) | 1 DBA Oracle (50%)</t>
  </si>
  <si>
    <t>A4: Migración de Java 8: Actualizar aplicaciones a Java LTS vigente</t>
  </si>
  <si>
    <t>Objetivo: Migración de Java 8.
Resultado esperado: Actualizar aplicaciones a Java LTS vigente</t>
  </si>
  <si>
    <t>1 Analista Funcional (100%) | 1 Especialista Oracle/WebLogic (50%)</t>
  </si>
  <si>
    <t>A5: Eliminación definitiva de OSB: Post-migración completa a Camel</t>
  </si>
  <si>
    <t>Objetivo: Eliminación definitiva de OSB.
Resultado esperado: Post-migración completa a Camel</t>
  </si>
  <si>
    <t>4-7 semanas</t>
  </si>
  <si>
    <t>1 Desarrollador Backend (100%) | 1 QA/Tester (25%) | 1 Especialista Oracle/OCI (50%) | 1 Especialista Integración/Camel (50%) | 1 Coordinador Proveedor Sonda (25%)</t>
  </si>
  <si>
    <t>A1: Diseño de capa de parametrización: Interfaz para que negocio modifique reglas</t>
  </si>
  <si>
    <t>Objetivo: Diseño de capa de parametrización.
Resultado esperado: Interfaz para que negocio modifique reglas</t>
  </si>
  <si>
    <t>UI de gestión de reglas para negocio | Capa de parametrización implementada</t>
  </si>
  <si>
    <t>TI Desarrollo, TI Datos (IA)</t>
  </si>
  <si>
    <t>1 Desarrollador Backend (100%) | 1 QA/Tester (25%) | 1 Especialista FICO/Blaze (50%) | 1 Especialista Oracle/OCI (50%)</t>
  </si>
  <si>
    <t>A2: Integración con Jobs separados: Cada Job expone sus parámetros configurables</t>
  </si>
  <si>
    <t>Objetivo: Integración con Jobs separados.
Resultado esperado: Cada Job expone sus parámetros configurables</t>
  </si>
  <si>
    <t>Integración con Gemini operativa</t>
  </si>
  <si>
    <t>A3: Integración con Gemini: IA para análisis de impacto de cambios de reglas</t>
  </si>
  <si>
    <t>Objetivo: Integración con Gemini.
Resultado esperado: IA para análisis de impacto de cambios de reglas</t>
  </si>
  <si>
    <t>Integración con Gemini operativa | UI de gestión de reglas para negocio</t>
  </si>
  <si>
    <t>A4: Desarrollo de interfaz de usuario: UI para gerencias de negocio</t>
  </si>
  <si>
    <t>Objetivo: Desarrollo de interfaz de usuario.
Resultado esperado: UI para gerencias de negocio</t>
  </si>
  <si>
    <t>UI de gestión de reglas para negocio</t>
  </si>
  <si>
    <t>A5: Capacitación a usuarios de negocio: Entrenamiento en uso de parametrización</t>
  </si>
  <si>
    <t>Objetivo: Capacitación a usuarios de negocio.
Resultado esperado: Entrenamiento en uso de parametrización</t>
  </si>
  <si>
    <t>Manual y capacitación de usuarios | Capa de parametrización implementada</t>
  </si>
  <si>
    <t>A1: Inventario de fuentes de datos dispersas: Base Aprobados, MenuAndes, FlexCube, etc.</t>
  </si>
  <si>
    <t>Objetivo: Inventario de fuentes de datos dispersas.
Resultado esperado: Base Aprobados, MenuAndes, FlexCube, etc.</t>
  </si>
  <si>
    <t>Inventario de fuentes de datos | Migración de Base de Aprobados completada</t>
  </si>
  <si>
    <t>TI Datos</t>
  </si>
  <si>
    <t>A2: Diseño del modelo MDM: Entidades maestras, relaciones, reglas de calidad</t>
  </si>
  <si>
    <t>Objetivo: Diseño del modelo MDM.
Resultado esperado: Entidades maestras, relaciones, reglas de calidad</t>
  </si>
  <si>
    <t>Modelo MDM documentado</t>
  </si>
  <si>
    <t>1 Desarrollador Backend (100%) | 1 QA/Tester (25%) | 1 Arquitecto de Datos (100%) | 1 Ingeniero ETL (100%)</t>
  </si>
  <si>
    <t>A3: Migración de Base de Aprobados: ETL + validación de datos migrados</t>
  </si>
  <si>
    <t>Objetivo: Migración de Base de Aprobados.
Resultado esperado: ETL + validación de datos migrados</t>
  </si>
  <si>
    <t>Migración de Base de Aprobados completada | Inventario de fuentes de datos</t>
  </si>
  <si>
    <t>1 Desarrollador Backend (100%) | 1 QA/Tester (25%) | 1 Arquitecto de Datos (50%) | 1 Ingeniero ETL (100%) | 1 DBA Oracle (50%)</t>
  </si>
  <si>
    <t>A4: Absorción de MenuAndes: Consolidación en BD Corporativa</t>
  </si>
  <si>
    <t>Objetivo: Absorción de MenuAndes.
Resultado esperado: Consolidación en BD Corporativa</t>
  </si>
  <si>
    <t>BD Corporativa desplegada en GCP</t>
  </si>
  <si>
    <t>1 Desarrollador Backend (100%) | 1 QA/Tester (25%) | 1 Arquitecto de Datos (50%) | 1 Ingeniero ETL (100%)</t>
  </si>
  <si>
    <t>A5: Implementación de gobierno de datos: Linaje, calidad, ownership, métricas</t>
  </si>
  <si>
    <t>Objetivo: Implementación de gobierno de datos.
Resultado esperado: Linaje, calidad, ownership, métricas</t>
  </si>
  <si>
    <t>Framework de gobierno de datos | Inventario de fuentes de datos</t>
  </si>
  <si>
    <t>Ger. Riesgo, Ger. Clientes, Ger. Producto</t>
  </si>
  <si>
    <t>A1: Diseño de arquitectura de microservicios: 4 MS por dominio, contratos, comunicación</t>
  </si>
  <si>
    <t>Objetivo: Diseño de arquitectura de microservicios.
Resultado esperado: 4 MS por dominio, contratos, comunicación</t>
  </si>
  <si>
    <t>Arquitectura de microservicios documentada | 4 microservicios desplegados en GCP</t>
  </si>
  <si>
    <t>A2: Desarrollo de ms-cliente: Absorbe EAI-074, 106, 110, 105, 080</t>
  </si>
  <si>
    <t>Objetivo: Desarrollo de ms-cliente.
Resultado esperado: Absorbe EAI-074, 106, 110, 105, 080</t>
  </si>
  <si>
    <t>1 Desarrollador Backend (100%) | 1 QA/Tester (25%) | 1 Ingeniero Cloud GCP (50%) | 1 Arquitecto de Soluciones (100%)</t>
  </si>
  <si>
    <t>A3: Desarrollo de ms-producto: Absorbe EAI-005, 122, 055</t>
  </si>
  <si>
    <t>Objetivo: Desarrollo de ms-producto.
Resultado esperado: Absorbe EAI-005, 122, 055</t>
  </si>
  <si>
    <t>8-12 semanas</t>
  </si>
  <si>
    <t>1 Desarrollador Backend (100%) | 1 QA/Tester (25%) | 1 Ingeniero Cloud GCP (50%) | 1 Arquitecto de Soluciones (50%) | 1 DevOps/SRE (100%)</t>
  </si>
  <si>
    <t>A4: Desarrollo de ms-riesgo: Absorbe EAI-003, 004, 138</t>
  </si>
  <si>
    <t>Objetivo: Desarrollo de ms-riesgo.
Resultado esperado: Absorbe EAI-003, 004, 138</t>
  </si>
  <si>
    <t>A5: Desarrollo de ms-cobranza: Absorbe EAI-079</t>
  </si>
  <si>
    <t>Objetivo: Desarrollo de ms-cobranza.
Resultado esperado: Absorbe EAI-079</t>
  </si>
  <si>
    <t>A6: Migración de consumidores del bus a microservicios: Redirigir tráfico progresivamente</t>
  </si>
  <si>
    <t>Objetivo: Migración de consumidores del bus a microservicios.
Resultado esperado: Redirigir tráfico progresivamente</t>
  </si>
  <si>
    <t>Plan de migración de consumidores del bus | Arquitectura de microservicios documentada</t>
  </si>
  <si>
    <t>1 Desarrollador Backend (100%) | 1 QA/Tester (25%) | 1 Especialista FICO/Blaze (50%) | 1 Ingeniero Cloud GCP (50%)</t>
  </si>
  <si>
    <t>A1: Habilitar GC logs en JVM FICO producción (ARI-01): Configurar -Xloggc con rotación en todos los nodos FICO ONP</t>
  </si>
  <si>
    <t>Objetivo: Habilitar GC logs en JVM FICO producción (ARI-01).
Resultado esperado: Configurar -Xloggc con rotación en todos los nodos FICO ONP</t>
  </si>
  <si>
    <t>GC logs habilitados y rotación configurada en nodos FICO | Mapa de errores FICO desencapsulados (código → causa raíz)</t>
  </si>
  <si>
    <t>TI Operaciones (ejecución), Sonda (infra ONP), Proveedor FICO/Ventiv (config motor)</t>
  </si>
  <si>
    <t>A2: Configurar alertas Kafka (ARI-02): Alertas automáticas ante consumer lag &gt;umbral y pérdida de consumidores</t>
  </si>
  <si>
    <t>Objetivo: Configurar alertas Kafka (ARI-02).
Resultado esperado: Alertas automáticas ante consumer lag &gt;umbral y pérdida de consumidores</t>
  </si>
  <si>
    <t>Alertas Kafka operativas con umbrales definidos | GC logs habilitados y rotación configurada en nodos FICO</t>
  </si>
  <si>
    <t>A3: Corregir health check FICO (ARI-03): Modificar endpoint /health para reflejar estado real ante 504/timeout</t>
  </si>
  <si>
    <t>Objetivo: Corregir health check FICO (ARI-03).
Resultado esperado: Modificar endpoint /health para reflejar estado real ante 504/timeout</t>
  </si>
  <si>
    <t>Health check corregido y validado con pruebas de fallo | GC logs habilitados y rotación configurada en nodos FICO</t>
  </si>
  <si>
    <t>A4: Desencapsular errores genéricos FICO (ARI-04): Mapear códigos internos, exponer causa raíz en logs y dashboards</t>
  </si>
  <si>
    <t>Objetivo: Desencapsular errores genéricos FICO (ARI-04).
Resultado esperado: Mapear códigos internos, exponer causa raíz en logs y dashboards</t>
  </si>
  <si>
    <t>Roles y dashboards funcionales en Grafana/Elasticsearch | Métricas Ignite visibles en dashboards operativos</t>
  </si>
  <si>
    <t>1 Desarrollador Backend (100%) | 1 QA/Tester (25%) | 1 Especialista FICO/Blaze (50%) | 1 Ingeniero SRE/Observabilidad (50%) | 1 Coordinador Proveedor Sonda (25%) | 1 Coordinador Proveedor FICO/Ventiv (25%)</t>
  </si>
  <si>
    <t>A5: Habilitar acceso funcional a Elasticsearch/Grafana (ARI-10): Crear roles read-only, dashboards de negocio, capacitación</t>
  </si>
  <si>
    <t>Objetivo: Habilitar acceso funcional a Elasticsearch/Grafana (ARI-10).
Resultado esperado: Crear roles read-only, dashboards de negocio, capacitación</t>
  </si>
  <si>
    <t>1 Arquitecto de Soluciones (25%) | 1 Desarrollador Backend (100%) | 1 QA/Tester (50%) | 1 Especialista FICO/Blaze (50%) | 1 Especialista Oracle/OCI (50%) | 1 Ingeniero SRE/Observabilidad (50%) | 1 Coordinador Proveedor Sonda (25%) | 1 Coordinador Proveedor FICO/Ventiv (25%)</t>
  </si>
  <si>
    <t>A6: Corregir sampling rate producción ONP (ARI-12): Ajustar de 100% a 5-10% con muestreo representativo</t>
  </si>
  <si>
    <t>Objetivo: Corregir sampling rate producción ONP (ARI-12).
Resultado esperado: Ajustar de 100% a 5-10% con muestreo representativo</t>
  </si>
  <si>
    <t>Sampling rate ajustado y validado en producción</t>
  </si>
  <si>
    <t>A7: Habilitar métricas Apache Ignite (ARI-56): Activar JMX/exporters para caché hits, misses, latencia, nodos activos</t>
  </si>
  <si>
    <t>Objetivo: Habilitar métricas Apache Ignite (ARI-56).
Resultado esperado: Activar JMX/exporters para caché hits, misses, latencia, nodos activos</t>
  </si>
  <si>
    <t>Métricas Ignite visibles en dashboards operativos</t>
  </si>
  <si>
    <t>1 Desarrollador Backend (100%) | 1 QA/Tester (25%) | 1 Especialista FICO/Blaze (50%) | 1 Ingeniero Datos/Cache (50%) | 1 Coordinador Proveedor Sonda (25%) | 1 Coordinador Proveedor FICO/Ventiv (25%)</t>
  </si>
  <si>
    <t>A1: Encadenar jobs Siebel EIM en Control-M (ARI-29): Forzar secuencia: Empresa → Sucursal → Persona → Afiliación</t>
  </si>
  <si>
    <t>Objetivo: Encadenar jobs Siebel EIM en Control-M (ARI-29).
Resultado esperado: Forzar secuencia: Empresa → Sucursal → Persona → Afiliación</t>
  </si>
  <si>
    <t>Jobs Siebel EIM encadenados en Control-M con secuencia correcta | Dependencia EOD configurada en Control-M</t>
  </si>
  <si>
    <t>TI Datos (owner), Sonda (ejecución batch)</t>
  </si>
  <si>
    <t>A2: Implementar lógica de delta en MenuAndes (ARI-30): Detección de cambios para procesar solo deltas vs. carga completa</t>
  </si>
  <si>
    <t>Objetivo: Implementar lógica de delta en MenuAndes (ARI-30).
Resultado esperado: Detección de cambios para procesar solo deltas vs. carga completa</t>
  </si>
  <si>
    <t>Lógica de delta implementada en MenuAndes para Empresas | Plan de desacoplamiento de MenuAndes (input para INI-34)</t>
  </si>
  <si>
    <t>A3: Implementar loteo/chunking en shells FlexCube (ARI-31): Procesamiento por bloques para volúmenes variables sin pérdida</t>
  </si>
  <si>
    <t>Objetivo: Implementar loteo/chunking en shells FlexCube (ARI-31).
Resultado esperado: Procesamiento por bloques para volúmenes variables sin pérdida</t>
  </si>
  <si>
    <t>Lógica de delta implementada en MenuAndes para Empresas | Shells FlexCube con loteo/chunking</t>
  </si>
  <si>
    <t>A4: Condicionar sincronización FlexCube al EOD (ARI-32): Dependencia explícita con cierre de día y proceso de pagos</t>
  </si>
  <si>
    <t>Objetivo: Condicionar sincronización FlexCube al EOD (ARI-32).
Resultado esperado: Dependencia explícita con cierre de día y proceso de pagos</t>
  </si>
  <si>
    <t>Shells FlexCube con loteo/chunking | Dependencia EOD configurada en Control-M</t>
  </si>
  <si>
    <t>A5: Separar shells monolíticas FlexCube (ARI-33): Descomponer en etapas: depuración → carga → validación (re-ejecutables)</t>
  </si>
  <si>
    <t>Objetivo: Separar shells monolíticas FlexCube (ARI-33).
Resultado esperado: Descomponer en etapas: depuración → carga → validación (re-ejecutables)</t>
  </si>
  <si>
    <t>Shells FlexCube separadas en etapas independientes | Shells FlexCube con loteo/chunking</t>
  </si>
  <si>
    <t>Ger. Riesgo (validación knockouts), Ger. Clientes (MenuAndes)</t>
  </si>
  <si>
    <t>A6: Plan de desacoplamiento MenuAndes (ARI-39): Documentar dependencias, diseñar migración a BD Corporativa</t>
  </si>
  <si>
    <t>Objetivo: Plan de desacoplamiento MenuAndes (ARI-39).
Resultado esperado: Documentar dependencias, diseñar migración a BD Corporativa</t>
  </si>
  <si>
    <t>Plan de desacoplamiento de MenuAndes (input para INI-34) | Documentación técnica de acoplamiento RP_CONTAR/FlexCube</t>
  </si>
  <si>
    <t>A7: Documentar acoplamiento RP_CONTAR/FlexCube (ARI-41): Mapear trigger + webservice + impacto en datos maestros</t>
  </si>
  <si>
    <t>Objetivo: Documentar acoplamiento RP_CONTAR/FlexCube (ARI-41).
Resultado esperado: Mapear trigger + webservice + impacto en datos maestros</t>
  </si>
  <si>
    <t>Documentación técnica de acoplamiento RP_CONTAR/FlexCube | Shells FlexCube con loteo/chunking</t>
  </si>
  <si>
    <t>A1: Limpiar configuración Mambu (ARI-05): Eliminar js-errorRoutingMambu y referencias asociadas en config FICO</t>
  </si>
  <si>
    <t>Objetivo: Limpiar configuración Mambu (ARI-05).
Resultado esperado: Eliminar js-errorRoutingMambu y referencias asociadas en config FICO</t>
  </si>
  <si>
    <t>Configuración Mambu eliminada de FICO</t>
  </si>
  <si>
    <t>TI Desarrollo (ejecución), Ventiv/FICO (config motor)</t>
  </si>
  <si>
    <t>A2: Identificar servicios DUMMY activos (ARI-06): Verificar EAI-029, EAI-055, EAI-074: consumidores, volumetría, impacto</t>
  </si>
  <si>
    <t>Objetivo: Identificar servicios DUMMY activos (ARI-06).
Resultado esperado: Verificar EAI-029, EAI-055, EAI-074: consumidores, volumetría, impacto</t>
  </si>
  <si>
    <t>Análisis de servicios DUMMY con impacto documentado | Invocaciones DUMMY eliminadas</t>
  </si>
  <si>
    <t>1 Desarrollador Backend (100%) | 1 QA/Tester (25%) | 1 Coordinador Proveedor Sonda (25%) | 1 Coordinador Proveedor FICO/Ventiv (25%)</t>
  </si>
  <si>
    <t>A3: Eliminar invocaciones DUMMY: Remover llamadas desde el flujo, validar que no hay dependencias ocultas</t>
  </si>
  <si>
    <t>Objetivo: Eliminar invocaciones DUMMY.
Resultado esperado: Remover llamadas desde el flujo, validar que no hay dependencias ocultas</t>
  </si>
  <si>
    <t>Invocaciones DUMMY eliminadas | Análisis de servicios DUMMY con impacto documentado</t>
  </si>
  <si>
    <t>A4: Validar en QA y producción: Pruebas de regresión post-limpieza</t>
  </si>
  <si>
    <t>Objetivo: Validar en QA y producción.
Resultado esperado: Pruebas de regresión post-limpieza</t>
  </si>
  <si>
    <t>Reporte de pruebas de regresión post-limpieza</t>
  </si>
  <si>
    <t>A1: Bloqueo firewall IP agente APM principal (ARI-53): Regla en puertos 443 y 9243 hacia IP del agente inactivo</t>
  </si>
  <si>
    <t>Objetivo: Bloqueo firewall IP agente APM principal (ARI-53).
Resultado esperado: Regla en puertos 443 y 9243 hacia IP del agente inactivo</t>
  </si>
  <si>
    <t>Reglas de firewall aplicadas y documentadas | Medición de red post-bloqueo (antes/después)</t>
  </si>
  <si>
    <t>1 Desarrollador Backend (100%) | 1 QA/Tester (25%) | 1 Especialista Oracle/OCI (50%) | 1 Especialista Ciberseguridad (25%) | 1 Coordinador Proveedor Sonda (25%) | 1 Coordinador Proveedor FICO/Ventiv (25%)</t>
  </si>
  <si>
    <t>A2: Bloqueo firewall IPs adicionales con RST (ARI-54): Identificar y bloquear IPs con rechazos continuos (~30/min)</t>
  </si>
  <si>
    <t>Objetivo: Bloqueo firewall IPs adicionales con RST (ARI-54).
Resultado esperado: Identificar y bloquear IPs con rechazos continuos (~30/min)</t>
  </si>
  <si>
    <t>A3: Validar reducción de tráfico post-bloqueo: Medición de red para confirmar eliminación de conexiones parásitas</t>
  </si>
  <si>
    <t>Objetivo: Validar reducción de tráfico post-bloqueo.
Resultado esperado: Medición de red para confirmar eliminación de conexiones parásitas</t>
  </si>
  <si>
    <t>Medición de red post-bloqueo (antes/después)</t>
  </si>
  <si>
    <t>1 Desarrollador Backend (100%) | 1 QA/Tester (25%) | 1 Especialista FICO/Blaze (50%) | 1 Especialista Oracle/OCI (50%) | 1 Coordinador Proveedor Sonda (25%) | 1 Coordinador Proveedor FICO/Ventiv (25%)</t>
  </si>
  <si>
    <t>A4: Configurar backup=1 en Apache Ignite (ARI-57): Modificar configuración de caché para mantener 1 réplica por partición</t>
  </si>
  <si>
    <t>Objetivo: Configurar backup=1 en Apache Ignite (ARI-57).
Resultado esperado: Modificar configuración de caché para mantener 1 réplica por partición</t>
  </si>
  <si>
    <t>Configuración Ignite con backup=1 | Reporte de prueba de resiliencia Ignite</t>
  </si>
  <si>
    <t>1 Desarrollador Backend (100%) | 1 QA/Tester (25%) | 1 Especialista Oracle/OCI (50%) | 1 Ingeniero Datos/Cache (50%) | 1 Coordinador Proveedor Sonda (25%) | 1 Coordinador Proveedor FICO/Ventiv (25%)</t>
  </si>
  <si>
    <t>A5: Prueba de resiliencia Ignite: Simular caída de nodo y verificar que los datos se mantienen</t>
  </si>
  <si>
    <t>Objetivo: Prueba de resiliencia Ignite.
Resultado esperado: Simular caída de nodo y verificar que los datos se mantienen</t>
  </si>
  <si>
    <t>Reporte de prueba de resiliencia Ignite | Configuración Ignite con backup=1</t>
  </si>
  <si>
    <t>1 Desarrollador Backend (100%) | 1 QA/Tester (25%) | 1 Especialista Oracle/OCI (50%) | 1 Coordinador Proveedor Sonda (25%) | 1 Coordinador Proveedor FICO/Ventiv (25%)</t>
  </si>
  <si>
    <t>A1: Diseñar protocolo contingencia FICO (ARI-09): Procedimiento para canal digital (TAPP) y presencial (Siebel) ante caída motor</t>
  </si>
  <si>
    <t>Objetivo: Diseñar protocolo contingencia FICO (ARI-09).
Resultado esperado: Procedimiento para canal digital (TAPP) y presencial (Siebel) ante caída motor</t>
  </si>
  <si>
    <t>Protocolo de contingencia FICO documentado (digital + presencial) | API documentada para TAPP</t>
  </si>
  <si>
    <t>TI Operaciones (contingencia), Ger. Riesgo + Ger. Digital (validación)</t>
  </si>
  <si>
    <t>1 Analista Funcional (100%) | 1 Especialista Riesgo (50%) | 1 UX/CX Designer (25%)</t>
  </si>
  <si>
    <t>A2: Validar protocolo con simulacro: Ejercicio tabletop con equipos de operaciones, negocio y soporte</t>
  </si>
  <si>
    <t>Objetivo: Validar protocolo con simulacro.
Resultado esperado: Ejercicio tabletop con equipos de operaciones, negocio y soporte</t>
  </si>
  <si>
    <t>Resultado del simulacro tabletop | Protocolo de contingencia FICO documentado (digital + presencial)</t>
  </si>
  <si>
    <t>A3: Diseñar MS baja online Base Aprobados (ARI-13): API para TAPP que permite dar de baja registros en tiempo real</t>
  </si>
  <si>
    <t>Objetivo: Diseñar MS baja online Base Aprobados (ARI-13).
Resultado esperado: API para TAPP que permite dar de baja registros en tiempo real</t>
  </si>
  <si>
    <t>MS baja online Base Aprobados desplegado | API documentada para TAPP</t>
  </si>
  <si>
    <t>TI Operaciones (contingencia), TI Desarrollo (MS baja), DBA/TI Infra (Oracle)</t>
  </si>
  <si>
    <t>A4: Desarrollar y desplegar MS baja online: Microservicio en GCP con endpoint REST para TAPP</t>
  </si>
  <si>
    <t>Objetivo: Desarrollar y desplegar MS baja online.
Resultado esperado: Microservicio en GCP con endpoint REST para TAPP</t>
  </si>
  <si>
    <t>A5: Documentar riesgo Oracle 12/Forms (ARI-40): Análisis formal: versión, soporte, dependencia Forms, alternativas, costo de no actuar</t>
  </si>
  <si>
    <t>Objetivo: Documentar riesgo Oracle 12/Forms (ARI-40).
Resultado esperado: Análisis formal: versión, soporte, dependencia Forms, alternativas, costo de no actuar</t>
  </si>
  <si>
    <t>A6: Presentar a gerencia para decisión: Informe ejecutivo con recomendación y opciones de migración</t>
  </si>
  <si>
    <t>Objetivo: Presentar a gerencia para decisión.
Resultado esperado: Informe ejecutivo con recomendación y opciones de migración</t>
  </si>
  <si>
    <t>Presentación ejecutiva para toma de decisión | API documentada para TAPP</t>
  </si>
  <si>
    <t>(Sin actividades definidas)</t>
  </si>
  <si>
    <t>Pendiente definición</t>
  </si>
  <si>
    <t>1 Analista Funcional (50%) | 1 Desarrollador (50%)</t>
  </si>
  <si>
    <t>A1: Evaluación de alternativas CRM: Analizar opciones (Salesforce, Dynamics, mantener Siebel), costos, capacidades, integración con ecosistema CLA</t>
  </si>
  <si>
    <t>Objetivo: Evaluación de alternativas CRM.
Resultado esperado: Analizar opciones (Salesforce, Dynamics, mantener Siebel), costos, capacidades, integración con ecosistema CLA</t>
  </si>
  <si>
    <t>Informe de evaluación de alternativas CRM con recomendación | Diseño del modelo de coexistencia Siebel + Salesforce</t>
  </si>
  <si>
    <t>Ger. Comercial</t>
  </si>
  <si>
    <t>A2: Diseño de modelo de coexistencia Siebel+Salesforce: Definir qué funciones migran primero, cuáles conviven, y por cuánto tiempo</t>
  </si>
  <si>
    <t>Objetivo: Diseño de modelo de coexistencia Siebel+Salesforce.
Resultado esperado: Definir qué funciones migran primero, cuáles conviven, y por cuánto tiempo</t>
  </si>
  <si>
    <t>Diseño del modelo de coexistencia Siebel + Salesforce | Migración completa de datos Siebel → Salesforce validada</t>
  </si>
  <si>
    <t>1 Analista Funcional (100%) | 1 Especialista Producto/Comercial (25%) | 1 Consultor Salesforce (50%) | 1 Especialista Siebel (50%)</t>
  </si>
  <si>
    <t>A3: Desacople de evalScoring de Siebel (TO-BE 2): Extraer lógica de evaluación de scoring fuera de Siebel hacia MS Lógica Crédito (INI-21)</t>
  </si>
  <si>
    <t>Objetivo: Desacople de evalScoring de Siebel (TO-BE 2).
Resultado esperado: Extraer lógica de evaluación de scoring fuera de Siebel hacia MS Lógica Crédito (INI-21)</t>
  </si>
  <si>
    <t>evalScoring desacoplado de Siebel y operativo en MS Lógica Crédito | Informe de evaluación de alternativas CRM con recomendación</t>
  </si>
  <si>
    <t>TI Desarrollo, Proveedor Salesforce</t>
  </si>
  <si>
    <t>1 Desarrollador Backend (100%) | 1 QA/Tester (25%) | 1 Arquitecto de Soluciones (50%) | 1 Especialista Siebel (100%)</t>
  </si>
  <si>
    <t>A4: Desarrollo de MVP Salesforce: Configurar Salesforce para funciones CRM core: gestión de clientes, seguimiento de solicitudes, reportes</t>
  </si>
  <si>
    <t>Objetivo: Desarrollo de MVP Salesforce.
Resultado esperado: Configurar Salesforce para funciones CRM core: gestión de clientes, seguimiento de solicitudes, reportes</t>
  </si>
  <si>
    <t>Salesforce MVP desplegado con funciones CRM core | Diseño del modelo de coexistencia Siebel + Salesforce</t>
  </si>
  <si>
    <t>1 Arquitecto de Soluciones (25%) | 1 Desarrollador Backend (100%) | 1 Desarrollador Frontend (50%) | 1 QA/Tester (50%) | 1 Consultor Salesforce (100%)</t>
  </si>
  <si>
    <t>A5: Migración de datos y procesos de Siebel a Salesforce: ETL de datos, mapeo de campos, validación de integridad, pruebas de paridad</t>
  </si>
  <si>
    <t>Objetivo: Migración de datos y procesos de Siebel a Salesforce.
Resultado esperado: ETL de datos, mapeo de campos, validación de integridad, pruebas de paridad</t>
  </si>
  <si>
    <t>Migración completa de datos Siebel → Salesforce validada | Diseño del modelo de coexistencia Siebel + Salesforce</t>
  </si>
  <si>
    <t>1 Líder/PM de Iniciativa (50%) | 1 Analista Funcional (50%) | 1 Desarrollador Backend (50%) | 1 QA/Tester (50%) | 1 QA Lead (50%) | Usuarios de Negocio para UAT (25%) | 1 Arquitecto de Datos (50%) | 1 Consultor Salesforce (100%) | 1 Especialista Siebel (100%) | 1 Ingeniero ETL (100%)</t>
  </si>
  <si>
    <t>A6: Cutover y apagado de Siebel: Plan de cutover con rollback, comunicación a usuarios, capacitación, monitoreo post-migración</t>
  </si>
  <si>
    <t>Objetivo: Cutover y apagado de Siebel.
Resultado esperado: Plan de cutover con rollback, comunicación a usuarios, capacitación, monitoreo post-migración</t>
  </si>
  <si>
    <t>Migración completa de datos Siebel → Salesforce validada | Acta de apagado de Siebel y liberación de licencias</t>
  </si>
  <si>
    <t>1 Líder/PM de Iniciativa (50%) | 1 Analista Funcional (50%) | 1 Especialista Change Management (50%) | 1 Consultor Salesforce (50%) | 1 Especialista Siebel (50%) | 1 DevOps/SRE (50%)</t>
  </si>
  <si>
    <t>A1: Relevamiento de requerimientos de ambientes: Mapear necesidades por INI técnica: ambientes, datos, herramientas QA</t>
  </si>
  <si>
    <t>Objetivo: Relevamiento de requerimientos de ambientes.
Resultado esperado: Mapear necesidades por INI técnica: ambientes, datos, herramientas QA</t>
  </si>
  <si>
    <t>Mapa de requerimientos de ambientes por INI | Generador de datos sanitizados operativo</t>
  </si>
  <si>
    <t>TI QA, TI Desarrollo</t>
  </si>
  <si>
    <t>A2: Diseño de arquitectura de ambiente espejo: Arquitectura replicable de producción (OCI+GCP) con datos sanitizados</t>
  </si>
  <si>
    <t>Objetivo: Diseño de arquitectura de ambiente espejo.
Resultado esperado: Arquitectura replicable de producción (OCI+GCP) con datos sanitizados</t>
  </si>
  <si>
    <t>Arquitectura de ambiente espejo documentada y desplegada | Generador de datos sanitizados operativo</t>
  </si>
  <si>
    <t>A3: Generación de datos de prueba sanitizados: Framework de generación/anonimización de datos representativos del volumen real</t>
  </si>
  <si>
    <t>Objetivo: Generación de datos de prueba sanitizados.
Resultado esperado: Framework de generación/anonimización de datos representativos del volumen real</t>
  </si>
  <si>
    <t>Pipeline CI/CD configurado para ambientes de prueba | Generador de datos sanitizados operativo</t>
  </si>
  <si>
    <t>A4: Desarrollo de suite de regresión automatizada: Casos de prueba E2E automatizados para cada servicio crítico del flujo de crédito</t>
  </si>
  <si>
    <t>Objetivo: Desarrollo de suite de regresión automatizada.
Resultado esperado: Casos de prueba E2E automatizados para cada servicio crítico del flujo de crédito</t>
  </si>
  <si>
    <t>Pipeline CI/CD configurado para ambientes de prueba | Suite de regresión automatizada con cobertura de servicios críticos</t>
  </si>
  <si>
    <t>A5: Implementación de CI/CD para ambientes: Pipeline automatizado para deploy en ambientes de prueba (Jenkins/CloudBuild)</t>
  </si>
  <si>
    <t>Objetivo: Implementación de CI/CD para ambientes.
Resultado esperado: Pipeline automatizado para deploy en ambientes de prueba (Jenkins/CloudBuild)</t>
  </si>
  <si>
    <t>Pipeline CI/CD configurado para ambientes de prueba | Mapa de requerimientos de ambientes por INI</t>
  </si>
  <si>
    <t>1 Desarrollador Backend (100%) | 1 QA/Tester (25%) | 1 Ingeniero Cloud GCP (50%) | 1 Especialista Oracle/OCI (50%) | 1 DevOps/SRE (50%)</t>
  </si>
  <si>
    <t>A6: Piloto con INIs técnicas priorizadas: Validar ambiente con INI-18, INI-24 y INI-35 como primeros usuarios</t>
  </si>
  <si>
    <t>Objetivo: Piloto con INIs técnicas priorizadas.
Resultado esperado: Validar ambiente con INI-18, INI-24 y INI-35 como primeros usuarios</t>
  </si>
  <si>
    <t>Arquitectura de ambiente espejo documentada y desplegada | Reporte de piloto con resultados y ajustes</t>
  </si>
  <si>
    <t>A1: Constituir Architecture Board: Definir miembros, charter, cadencia y autoridad del comité de arquitectura</t>
  </si>
  <si>
    <t>Objetivo: Constituir Architecture Board.
Resultado esperado: Definir miembros, charter, cadencia y autoridad del comité de arquitectura</t>
  </si>
  <si>
    <t>Charter del Architecture Board con miembros y cadencia | Vista consolidada de arquitectura empresarial TO-BE</t>
  </si>
  <si>
    <t>Arquitectura TI CLA, PwC</t>
  </si>
  <si>
    <t>A2: Adaptar ciclo ADM de TOGAF a CLA: Simplificar ADM para contexto CLA: fases priorizadas, plantillas, governance gates</t>
  </si>
  <si>
    <t>Objetivo: Adaptar ciclo ADM de TOGAF a CLA.
Resultado esperado: Simplificar ADM para contexto CLA: fases priorizadas, plantillas, governance gates</t>
  </si>
  <si>
    <t>ADM simplificado adaptado a CLA con plantillas | Reportes de scoring de madurez TOGAF por dominio</t>
  </si>
  <si>
    <t>Arquitectura TI CLA</t>
  </si>
  <si>
    <t>A3: Definir building blocks del proceso de crédito: Catalogar componentes de negocio y técnicos como building blocks reutilizables</t>
  </si>
  <si>
    <t>Objetivo: Definir building blocks del proceso de crédito.
Resultado esperado: Catalogar componentes de negocio y técnicos como building blocks reutilizables</t>
  </si>
  <si>
    <t>Catálogo de building blocks (negocio + técnicos)</t>
  </si>
  <si>
    <t>A4: Desarrollar catálogo SOA de servicios: Inventariar y catalogar todos los servicios (EAI, microservicios, APIs) con metadata</t>
  </si>
  <si>
    <t>Objetivo: Desarrollar catálogo SOA de servicios.
Resultado esperado: Inventariar y catalogar todos los servicios (EAI, microservicios, APIs) con metadata</t>
  </si>
  <si>
    <t>Catálogo SOA de servicios con metadata | Catálogo de building blocks (negocio + técnicos)</t>
  </si>
  <si>
    <t>A5: Medir madurez con scoring TOGAF: Aplicar scoring por dominio (Negocio, Datos, Aplicaciones, Tecnología) y comparar con baseline</t>
  </si>
  <si>
    <t>Objetivo: Medir madurez con scoring TOGAF.
Resultado esperado: Aplicar scoring por dominio (Negocio, Datos, Aplicaciones, Tecnología) y comparar con baseline</t>
  </si>
  <si>
    <t>Reportes de scoring de madurez TOGAF por dominio | Catálogo de building blocks (negocio + técnicos)</t>
  </si>
  <si>
    <t>A6: Consolidar arquitectura empresarial TO-BE: Integrar los 4 dominios TOGAF en una vista consolidada alineada a los 5 TO-BE</t>
  </si>
  <si>
    <t>Objetivo: Consolidar arquitectura empresarial TO-BE.
Resultado esperado: Integrar los 4 dominios TOGAF en una vista consolidada alineada a los 5 TO-BE</t>
  </si>
  <si>
    <t>Vista consolidada de arquitectura empresarial TO-BE | Reportes de scoring de madurez TOGAF por dominio</t>
  </si>
  <si>
    <t>A1: Levantar proceso AS-IS de creación de bases de campaña: Documentar el flujo actual con handoffs, tiempos, responsables y puntos de dolor</t>
  </si>
  <si>
    <t>Objetivo: Levantar proceso AS-IS de creación de bases de campaña.
Resultado esperado: Documentar el flujo actual con handoffs, tiempos, responsables y puntos de dolor</t>
  </si>
  <si>
    <t>Mapeo AS-IS del proceso de creación de bases de campaña</t>
  </si>
  <si>
    <t>Ger. Riesgo, Ger. Comercial</t>
  </si>
  <si>
    <t>A2: Diagnosticar pain points y pérdidas operativas: Identificar cuellos de botella, errores frecuentes, tiempos muertos y falta de SLAs</t>
  </si>
  <si>
    <t>Objetivo: Diagnosticar pain points y pérdidas operativas.
Resultado esperado: Identificar cuellos de botella, errores frecuentes, tiempos muertos y falta de SLAs</t>
  </si>
  <si>
    <t>Diagnóstico de pain points con métricas de impacto</t>
  </si>
  <si>
    <t>A3: Diseñar proceso TO-BE con SLAs y automatización: Flujo optimizado con SLAs por etapa, integración con BD Corporativa y TAPP</t>
  </si>
  <si>
    <t>Objetivo: Diseñar proceso TO-BE con SLAs y automatización.
Resultado esperado: Flujo optimizado con SLAs por etapa, integración con BD Corporativa y TAPP</t>
  </si>
  <si>
    <t>Diseño TO-BE con SLAs por etapa y modelo de integración | Integración operativa con BD Corporativa + TAPP</t>
  </si>
  <si>
    <t>A4: Integrar con BD Corporativa (INI-34) y TAPP: Conectar el proceso con la fuente única de datos y el canal digital</t>
  </si>
  <si>
    <t>Objetivo: Integrar con BD Corporativa (INI-34) y TAPP.
Resultado esperado: Conectar el proceso con la fuente única de datos y el canal digital</t>
  </si>
  <si>
    <t>Integración operativa con BD Corporativa + TAPP | Diseño TO-BE con SLAs por etapa y modelo de integración</t>
  </si>
  <si>
    <t>Digital Insight, Ger. Comercial</t>
  </si>
  <si>
    <t>A5: Implementar proceso TO-BE: Desarrollar automatizaciones, validaciones y controles del nuevo flujo</t>
  </si>
  <si>
    <t>Objetivo: Implementar proceso TO-BE.
Resultado esperado: Desarrollar automatizaciones, validaciones y controles del nuevo flujo</t>
  </si>
  <si>
    <t>Proceso TO-BE implementado con automatizaciones | Mapeo AS-IS del proceso de creación de bases de campaña</t>
  </si>
  <si>
    <t>A6: Piloto y ajustes: Ejecutar piloto con una campaña real, medir mejoras vs AS-IS, ajustar</t>
  </si>
  <si>
    <t>Objetivo: Piloto y ajustes.
Resultado esperado: Ejecutar piloto con una campaña real, medir mejoras vs AS-IS, ajustar</t>
  </si>
  <si>
    <t>Mapeo AS-IS del proceso de creación de bases de campaña | Reporte de piloto con resultados y recomendaciones</t>
  </si>
  <si>
    <t>A1: Inventariar ajustes de canal requeridos por INIs técnicas: Recopilar delta de cambios en canales generados por INI-21, INI-24, INI-34, INI-35, INI-42</t>
  </si>
  <si>
    <t>Objetivo: Inventariar ajustes de canal requeridos por INIs técnicas.
Resultado esperado: Recopilar delta de cambios en canales generados por INI-21, INI-24, INI-34, INI-35, INI-42</t>
  </si>
  <si>
    <t>Inventario de ajustes de canal por INI origen | Plan consolidado de ajustes de canal priorizado</t>
  </si>
  <si>
    <t>TI Desarrollo Canal, TI Integración</t>
  </si>
  <si>
    <t>A2: Plan consolidado de ajustes de canal: Priorizar y secuenciar ajustes en un plan único coordinado con cada INI origen</t>
  </si>
  <si>
    <t>Objetivo: Plan consolidado de ajustes de canal.
Resultado esperado: Priorizar y secuenciar ajustes en un plan único coordinado con cada INI origen</t>
  </si>
  <si>
    <t>Plan consolidado de ajustes de canal priorizado | Inventario de ajustes de canal por INI origen</t>
  </si>
  <si>
    <t>TI Desarrollo Canal, Ger. Comercial</t>
  </si>
  <si>
    <t>1 Analista Funcional (100%) | 1 Especialista Producto/Comercial (25%) | 1 UX/CX Designer (25%)</t>
  </si>
  <si>
    <t>A3: Ajustes en TAPP (canal digital): Modificaciones en flujos TAPP derivadas de nuevos microservicios y orquestador</t>
  </si>
  <si>
    <t>Objetivo: Ajustes en TAPP (canal digital).
Resultado esperado: Modificaciones en flujos TAPP derivadas de nuevos microservicios y orquestador</t>
  </si>
  <si>
    <t>1 Desarrollador Backend (100%) | 1 QA/Tester (25%) | 1 Especialista Integración/Camel (50%)</t>
  </si>
  <si>
    <t>A4: Ajustes en Apigee (API Gateway): Actualizar rutas, contratos y rate limiting en Apigee por cambios en backend</t>
  </si>
  <si>
    <t>Objetivo: Ajustes en Apigee (API Gateway).
Resultado esperado: Actualizar rutas, contratos y rate limiting en Apigee por cambios en backend</t>
  </si>
  <si>
    <t>Apigee actualizado (rutas, contratos, rate limiting) | Inventario de ajustes de canal por INI origen</t>
  </si>
  <si>
    <t>A5: Ajustes en canal presencial (SVP/Sucursales): Adaptar flujos presenciales a los nuevos servicios y orquestación</t>
  </si>
  <si>
    <t>Objetivo: Ajustes en canal presencial (SVP/Sucursales).
Resultado esperado: Adaptar flujos presenciales a los nuevos servicios y orquestación</t>
  </si>
  <si>
    <t>A6: Pruebas E2E de canales ajustados: Validar que todos los canales operan correctamente con los nuevos componentes</t>
  </si>
  <si>
    <t>Objetivo: Pruebas E2E de canales ajustados.
Resultado esperado: Validar que todos los canales operan correctamente con los nuevos componentes</t>
  </si>
  <si>
    <t>Reporte de pruebas E2E de canales con evidencias | TAPP ajustado y validado con nuevos servicios</t>
  </si>
  <si>
    <t>A1: Diseño del evento de abandono: Definir modelo de datos (RUT, monto simulado, plazo, cuota, timestamp, canal, etapa), criterios de captura (qué se considera abandono: timeout, cierre app, navegación fuera) y punto de instrumentación en TAPP.</t>
  </si>
  <si>
    <t>Objetivo: Diseñar el evento de abandono y su modelo de datos.
Resultado esperado: Definición clara de qué constituye un abandono de simulación, modelo de datos del evento, y punto exacto de instrumentación en el flujo TAPP.</t>
  </si>
  <si>
    <t>Especificación funcional del evento de abandono + modelo de datos | Criterios de captura validados por Ger. Comercial y Ger. Digital</t>
  </si>
  <si>
    <t>Ger. Comercial, Ger. Digital (TAPP), TI Arquitectura</t>
  </si>
  <si>
    <t>A2: Persistencia de contexto en Redis/BD: Desarrollar microservicio ms-abandono-captura en GCP (Cloud Run) que reciba el evento de abandono y persista el contexto completo en Redis (TTL 72h) y BD Corporativa (histórico).</t>
  </si>
  <si>
    <t>Objetivo: Persistir el contexto de simulaciones abandonadas.
Resultado esperado: Microservicio ms-abandono-captura desplegado en GCP, escribiendo en Redis (contexto activo) y BD Corporativa (histórico/auditoría).</t>
  </si>
  <si>
    <t>Microservicio ms-abandono-captura desplegado en GCP | Modelo de persistencia Redis + BD Corporativa documentado</t>
  </si>
  <si>
    <t>TI Desarrollo, TI Arquitectura, TI Integración</t>
  </si>
  <si>
    <t>1 PM/Scrum Master (25%) | 1 Arquitecto de Soluciones (50%) | 2 Desarrolladores Backend (100%) | 1 QA/Tester (50%) | 1 Ingeniero Cloud GCP (50%) | 1 Ingeniero Datos/Cache (50%)</t>
  </si>
  <si>
    <t>A3: Job de Reenganche diario: Desarrollar job programado (GCP Cloud Scheduler / Control-M) que a las 07:00 AM D+1 consulte abandonos en Redis, valide oferta vigente en BD Corporativa, calcule rango ±10% del monto simulado y genere oferta proactiva personalizada.</t>
  </si>
  <si>
    <t>Objetivo: Generar ofertas proactivas para clientes con simulaciones abandonadas.
Resultado esperado: Job de reenganche operativo que cruza abandonos con ofertas vigentes y genera oferta proactiva personalizada sin re-evaluación FICO.</t>
  </si>
  <si>
    <t>Job de reenganche desplegado (GCP Cloud Scheduler / Control-M) | Lógica de cruce abandono–oferta vigente documentada</t>
  </si>
  <si>
    <t>TI Desarrollo, TI Arquitectura, Ger. Riesgo, Ger. Comercial</t>
  </si>
  <si>
    <t>1 Arquitecto de Soluciones (25%) | 1 Desarrollador Backend (100%) | 1 QA/Tester (50%) | 1 Ingeniero Cloud GCP (50%) | 1 Ingeniero Datos/Cache (50%)</t>
  </si>
  <si>
    <t>A4: Motor de notificaciones: Implementar envío de push TAPP y email personalizado con deep link directo al flujo express. Integrar con API de notificaciones existente o nuevo proveedor. Incluir personalización (nombre, monto aproximado, plazo).</t>
  </si>
  <si>
    <t>Objetivo: Notificar proactivamente al cliente abandonador con oferta personalizada.
Resultado esperado: Notificaciones push y email enviadas automáticamente con deep link que lleva directo al flujo de aceptación express en TAPP.</t>
  </si>
  <si>
    <t>Plantillas de notificación (push + email) aprobadas por Compliance | Integración API notificaciones operativa | Deep link funcional</t>
  </si>
  <si>
    <t>TI Desarrollo, Ger. Comercial, Ger. Digital (TAPP), Legal/Compliance</t>
  </si>
  <si>
    <t>1 PM/Scrum Master (25%) | 1 Arquitecto de Soluciones (50%) | 2 Desarrolladores Backend (100%) | 1 Desarrollador Frontend (100%) | 1 QA/Tester (50%)</t>
  </si>
  <si>
    <t>A5: Flujo de aceptación express en TAPP: Diseñar e implementar flujo reducido donde el cliente ingresa directo a TAPP_APB (cliente aprobado) sin re-evaluación FICO ni re-simulación. Pantalla de oferta proactiva con monto, plazo, cuota y botón de aceptación.</t>
  </si>
  <si>
    <t>Objetivo: Ofrecer journey express de 3-4 pasos (vs 7-10 del flujo normal) para clientes reenganchados.
Resultado esperado: Flujo funcional en TAPP donde el cliente ve su oferta proactiva y acepta en pocos clics, saltando evaluación FICO.</t>
  </si>
  <si>
    <t>Flujo express implementado en TAPP | Pantalla de oferta proactiva + lógica de derivación a TAPP_APB</t>
  </si>
  <si>
    <t>Ger. Digital (TAPP), TI Desarrollo, UX/UI, Ger. Comercial</t>
  </si>
  <si>
    <t>1 Arquitecto de Soluciones (25%) | 1 Desarrollador Backend (100%) | 1 Desarrollador Frontend (50%) | 1 QA/Tester (50%) | 1 Especialista FICO/Blaze (50%)</t>
  </si>
  <si>
    <t>A6: Reglas de negocio de reenganche: Definir y formalizar con Ger. Riesgo y Ger. Comercial las reglas de exclusión (mora, bloqueo, cambio de condiciones), vigencia máxima de la oferta (72h), máximo 1 reenganche por ciclo de campaña, horario de envío permitido, y tratamiento de edge cases.</t>
  </si>
  <si>
    <t>Objetivo: Formalizar las reglas de negocio que gobiernan el reenganche automático.
Resultado esperado: Documento de reglas aprobado por Ger. Riesgo + Ger. Comercial, parametrizable y auditable.</t>
  </si>
  <si>
    <t>Documento de reglas de negocio de reenganche aprobado por Ger. Riesgo + Ger. Comercial | Parametría de exclusiones y vigencia</t>
  </si>
  <si>
    <t>Ger. Riesgo, Ger. Comercial, Legal/Compliance</t>
  </si>
  <si>
    <t>A7: Dashboard de seguimiento: Implementar dashboard en BigQuery/Looker con métricas de abandonos capturados, reenganches enviados, tasa de apertura, conversión post-reenganche, monto recuperado y comparación con flujo normal. Reportería semanal automatizada.</t>
  </si>
  <si>
    <t>Objetivo: Visibilidad operativa y de negocio del proceso de reenganche.
Resultado esperado: Dashboard operativo con métricas de conversión, monto recuperado y eficiencia del reenganche, con reportería semanal automatizada.</t>
  </si>
  <si>
    <t>Dashboard operativo en BigQuery/Looker | Reportería semanal automatizada | Definición de KPIs de reenganche</t>
  </si>
  <si>
    <t>TI Datos/BI, Ger. Comercial, Ger. Digital</t>
  </si>
  <si>
    <t>1 Arquitecto de Soluciones (25%) | 1 Desarrollador Backend (100%) | 1 Desarrollador Frontend (50%) | 1 QA/Tester (50%) | 1 Ingeniero Cloud GCP (50%) | 1 Ingeniero SRE/Observabilidad (50%)</t>
  </si>
  <si>
    <t>A8: Testing E2E + piloto controlado: Ejecutar pruebas end-to-end del flujo completo (abandono → captura → job → notificación → aceptación express). Piloto con 5% de abandonos durante 2 semanas. Criterio go/no-go: &gt;5% conversión sobre reenganches enviados.</t>
  </si>
  <si>
    <t>Objetivo: Validar el flujo completo en condiciones reales antes del rollout.
Resultado esperado: Informe de piloto con métricas reales, decisión go/no-go fundamentada, y ajustes identificados para rollout masivo.</t>
  </si>
  <si>
    <t>Plan de pruebas E2E + evidencias de ejecución | Informe de piloto con métricas + decisión go/no-go para rollout</t>
  </si>
  <si>
    <t>QA, TI Desarrollo, Ger. Comercial, Ger. Riesgo, Ger. Digital</t>
  </si>
  <si>
    <t>Pruebas E2E, piloto, calibración, socialización o actividad que cruza capas</t>
  </si>
  <si>
    <t>A1 — Benchmark + Análisis heurístico AS-IS</t>
  </si>
  <si>
    <t>OBJETIVO: Auditar la experiencia actual de presentación de oferta en TAPP (digital) y SVP (presencial). Evaluar: ¿qué ve el afiliado? ¿en qué orden? ¿qué información falta? ¿cuándo se entera de los seguros/comisiones? Benchmark con 3-5 referentes (bancos/cajas/fintech).
RESULTADO: Mapeo de pantallas de oferta TAPP y SVP, gaps de información, puntos de fricción, benchmark competitivo con 3-5 referentes documentados (capturas + análisis heurístico).</t>
  </si>
  <si>
    <t>E1 — Informe auditoría heurística + benchmark competitivo (3-5 referentes)</t>
  </si>
  <si>
    <t>Ger. Producto
Ger. Canales Digitales
UX/Experiencia de Cliente</t>
  </si>
  <si>
    <t>Research / Discovery</t>
  </si>
  <si>
    <t>Análisis documental y de competencia. No requiere desarrollo ni cambio de sistemas. Se ejecuta con herramientas existentes. Cero impacto en producción.</t>
  </si>
  <si>
    <t>2 semanas</t>
  </si>
  <si>
    <t>UX Researcher (líder): 100% × 2 sem
Analista de Producto: 20% × 2 sem
Analista Canales: 20% × 2 sem</t>
  </si>
  <si>
    <t>1,4</t>
  </si>
  <si>
    <t>A2 — Research cualitativo con afiliados</t>
  </si>
  <si>
    <t>OBJETIVO: Entrevistas en profundidad con 8-12 afiliados (mix: 4-6 digital + 4-6 presencial; abandonaron + contrataron). ① ¿Qué entienden que incluye su crédito? ② ¿Saben que pagan seguro desgravamen? ③ ¿Prefieren ver todo junto o separado? ④ ¿Qué les genera desconfianza? ⑤ ¿Qué los haría abandonar? ⑥ ¿Cuál formato los frustra menos?
RESULTADO: Insights cualitativos validados: personas, pain points priorizados, verbatims clave, preferencias declaradas (paquete vs desglose vs simple), drivers de confianza/desconfianza, momentos de frustración.</t>
  </si>
  <si>
    <t>E2 — Informe research cualitativo: insights, personas, pain points, verbatims, preferencias</t>
  </si>
  <si>
    <t>UX/Experiencia de Cliente
Ger. Comercial
Ger. Canales Digitales</t>
  </si>
  <si>
    <t>Entrevistas cualitativas con afiliados reales. No requiere desarrollo ni cambio técnico. Necesita reclutamiento participantes e incentivos (~1.5 UF/persona).</t>
  </si>
  <si>
    <t>UX Researcher (líder): 100% × 3 sem
Reclutador participantes: 50% × 1 sem
Nota-taker: 50% × 1.5 sem</t>
  </si>
  <si>
    <t>1,6</t>
  </si>
  <si>
    <t>A3 — Diseño de 3 variantes de oferta</t>
  </si>
  <si>
    <t>OBJETIVO: Diseñar prototipos alta fidelidad (Figma) para 3 variantes:
• Variante A (Control/AS-IS): Oferta simple — monto, cuota, plazo, tasa.
• Variante B (Paquete integrado): 'Tu crédito incluye' — crédito + seguro + productos, precio total, badge 'todo incluido'.
• Variante C (Desglose transparente): Componentes separados — cuota crédito ($X), seguro ($Y), comisión ($Z), total ($T). Toggle on/off opcionales.
Cada variante para TAPP (móvil) y SVP (web).
RESULTADO: 3 prototipos alta fidelidad Figma, clickeables, flujo completo pantalla de oferta por variante para TAPP (mobile) y SVP (desktop). Validados con Ger. Producto antes de testeo.</t>
  </si>
  <si>
    <t>E3 — 3 prototipos alta fidelidad (Figma): Variante A + B + C para TAPP y SVP</t>
  </si>
  <si>
    <t>UX/Experiencia de Cliente
Ger. Producto
Ger. Canales Digitales
Ger. Riesgo</t>
  </si>
  <si>
    <t>Diseño UX / Prototipado</t>
  </si>
  <si>
    <t>Trabajo de diseño en Figma. No requiere desarrollo en producción. Prototipos interactivos no conectados a sistemas reales. Validación interna antes de exponer a afiliados.</t>
  </si>
  <si>
    <t>UX Designer (líder): 100% × 3 sem
UX Researcher: 30% × 3 sem
Product Manager: 20% × 3 sem</t>
  </si>
  <si>
    <t>1,5</t>
  </si>
  <si>
    <t>A4 — Test de usabilidad + comprensión (cualitativo)</t>
  </si>
  <si>
    <t>OBJETIVO: Test moderado con 12-15 afiliados (4-5 por variante). Protocolo think-aloud + cuestionario post-tarea. Métricas: ① Tasa de comprensión ('¿qué incluye tu cuota?') ② Tiempo en pantalla ③ Confianza percibida (1-5) ④ Preferencia declarada ⑤ Puntos de confusión/fricción ⑥ Nivel de frustración (1-5).
RESULTADO: Métricas comparativas por variante: comprensión (% correcto), confianza, frustración, tiempo en pantalla, preferencia. Matriz de decisión con las 2 variantes a llevar al test A/B. Clips de video highlight.</t>
  </si>
  <si>
    <t>E4 — Informe test usabilidad: métricas por variante, matriz preferencia, recomendación 2 variantes para A/B</t>
  </si>
  <si>
    <t>UX/Experiencia de Cliente
Ger. Comercial
Ger. Producto</t>
  </si>
  <si>
    <t>Research / Testing cualitativo</t>
  </si>
  <si>
    <t>Test con usuarios reales sobre prototipos Figma (no producción). Necesita sala/remoto para sesiones, herramienta grabación. Incentivos participantes.</t>
  </si>
  <si>
    <t>UX Researcher (líder): 100% × 2 sem
Nota-taker/observador: 50% × 1 sem
Data Analyst: 20% × 0.5 sem</t>
  </si>
  <si>
    <t>1,2</t>
  </si>
  <si>
    <t>A5 — Test A/B cuantitativo (piloto en TAPP)</t>
  </si>
  <si>
    <t>OBJETIVO: Implementar 2 variantes ganadoras como feature flags en TAPP, 2-4 semanas, distribución 50/50. Medir con datos reales:
① Tasa de avance post-oferta
② Tasa de abandono en pantalla de oferta
③ Tasa de contratación completa (hasta desembolso)
④ Tiempo en pantalla
⑤ Tasa de reclamo post-venta (D+30)
Mínimo 500 sesiones por variante (p&lt;0.05).
RESULTADO: Informe cuantitativo con significancia estadística: variante ganadora en conversión, delta abandono, delta reclamos D+30. Tablas de contingencia, intervalos de confianza, Cohen's d. Decisión data-driven.</t>
  </si>
  <si>
    <t>E5 — Informe test A/B: conversión por variante, significancia estadística, variante ganadora</t>
  </si>
  <si>
    <t>Ger. Canales Digitales
Data/BI
UX/Experiencia
Equipo TAPP / proveedor</t>
  </si>
  <si>
    <t>Testing cuantitativo / Piloto productivo</t>
  </si>
  <si>
    <t>ÚNICA actividad que toca producción: feature flags en TAPP para variantes al 50% tráfico. Impacto controlado, reversible. No modifica lógica de negocio ni backend, solo capa de presentación.</t>
  </si>
  <si>
    <t>Data Analyst (líder): 80% × 4 sem
Dev TAPP (flags): 50% × 1.5 sem
UX Researcher: 30% × 1 sem
Product Manager: 20% × 4 sem</t>
  </si>
  <si>
    <t>A6 — Análisis de impacto en reclamos y post-venta</t>
  </si>
  <si>
    <t>OBJETIVO: Cruzar reclamos SERNAC/internos (12 meses) con tipo de oferta. Categorizar:
① 'No sabía que incluía seguro'
② 'Cuota mayor a la esperada'
③ 'Cobros no informados'
Estimar reducción con Variante B o C. Revisión Legal/Cumplimiento sobre transparencia CMF/SERNAC.
RESULTADO: N reclamos por categoría, % atribuible a falta de transparencia, estimación reducción por variante. Checklist cumplimiento CMF/SERNAC validado con Legal. Productos obligatorios vs opcionales.</t>
  </si>
  <si>
    <t>E6 — Análisis reclamos (12 meses) + estimación reducción + checklist normativo CMF/SERNAC</t>
  </si>
  <si>
    <t>Legal/Cumplimiento
Ger. Producto
Data/BI
Atención al Cliente</t>
  </si>
  <si>
    <t>Análisis de datos / Compliance</t>
  </si>
  <si>
    <t>Análisis datos históricos + revisión normativa. No requiere desarrollo. Se ejecuta en PARALELO con A5. Requiere acceso base reclamos SERNAC/internos.</t>
  </si>
  <si>
    <t>Data Analyst (líder): 60% × 2 sem
Abogado/Compliance: 40% × 2 sem
Analista Reclamos: 30% × 1 sem</t>
  </si>
  <si>
    <t>1,1</t>
  </si>
  <si>
    <t>A7 — Informe final + recomendación + prototipos definitivos</t>
  </si>
  <si>
    <t>OBJETIVO: Consolidar hallazgos A1-A6:
① Variante recomendada (evidencia cuanti + cuali)
② Impacto estimado en conversión, comprensión, NPS, reclamos
③ Prototipos definitivos ajustados por feedback A/B
④ Roadmap implementación UX (TAPP/SVP)
⑤ Quick wins de copy/layout aplicables inmediatamente
⑥ Recomendaciones largo plazo
RESULTADO: Informe ejecutivo (&lt;30 págs) con recomendación fundamentada, prototipos finales Figma, roadmap implementación, lista quick wins. Listo para workshop gerencias (A8).</t>
  </si>
  <si>
    <t>E7 — Informe ejecutivo final + prototipos definitivos Figma + roadmap UX + quick wins</t>
  </si>
  <si>
    <t>UX/Experiencia de Cliente
Ger. Producto
Ger. Canales Digitales
Data/BI</t>
  </si>
  <si>
    <t>Consolidación / Documentación</t>
  </si>
  <si>
    <t>Síntesis y documentación. No requiere desarrollo. Es el entregable principal que habilita la decisión de gerencias. Incluye ajuste prototipos Figma por feedback A/B.</t>
  </si>
  <si>
    <t>UX Researcher (líder): 100% × 2 sem
UX Designer: 60% × 2 sem
Data Analyst: 30% × 1 sem
Product Manager: 20% × 1 sem</t>
  </si>
  <si>
    <t>A8 — Presentación a gerencias + decisión go/no-go</t>
  </si>
  <si>
    <t>OBJETIVO: Workshop 2h con Ger. Producto, Comercial, Canales, Riesgo y Cumplimiento:
① Hallazgos clave (15 min)
② Prototipos en vivo (20 min)
③ Implicancias: ¿se puede quitar seguro? ¿qué es obligatorio? (20 min)
④ Impacto conversión y reclamos (15 min)
⑤ Decisión formal: variante + horizonte + recursos (30 min)
⑥ ¿Quién lidera implementación TAPP? (10 min)
RESULTADO: Decisión formal: variante aprobada, horizonte implementación, responsable asignado, recursos comprometidos. Minuta firmada por 5 gerencias. Plan de acción con fechas.</t>
  </si>
  <si>
    <t>E8 — Minuta decisión firmada por 5 gerencias + variante aprobada + plan acción + responsable</t>
  </si>
  <si>
    <t>Ger. Producto
Ger. Comercial
Ger. Canales Digitales
Ger. Riesgo
Legal/Cumplimiento</t>
  </si>
  <si>
    <t>Governance / Decisión ejecutiva</t>
  </si>
  <si>
    <t>Sesión de decisión ejecutiva. Gate de aprobación que habilita implementación. Sin esta decisión formal, no hay mandato para cambiar pantalla de oferta.</t>
  </si>
  <si>
    <t>UX Researcher (presentador): 100% × 0.5 sem
Product Manager (co-presentador): 100% × 0.5 sem
5 Gerentes: 2 horas cada uno</t>
  </si>
  <si>
    <t>0,5</t>
  </si>
  <si>
    <t>Total Actividades</t>
  </si>
  <si>
    <t>🟢 Funcional</t>
  </si>
  <si>
    <t>🔴 Técnica</t>
  </si>
  <si>
    <t>🟠 Transversal</t>
  </si>
  <si>
    <t>% Funcional</t>
  </si>
  <si>
    <t>% Técnica</t>
  </si>
  <si>
    <t>% Transversal</t>
  </si>
  <si>
    <t>Perfil Predominante</t>
  </si>
  <si>
    <t>33%</t>
  </si>
  <si>
    <t>Equilibrada</t>
  </si>
  <si>
    <t>40%</t>
  </si>
  <si>
    <t>20%</t>
  </si>
  <si>
    <t>Equilibrada Funcional-Técnica</t>
  </si>
  <si>
    <t>50%</t>
  </si>
  <si>
    <t>0%</t>
  </si>
  <si>
    <t>Equilibrada Funcional-Transversal</t>
  </si>
  <si>
    <t>17%</t>
  </si>
  <si>
    <t>Mayoritariamente Funcional</t>
  </si>
  <si>
    <t xml:space="preserve">Racionalización del Journey Pre-evaluación / Evaluación - </t>
  </si>
  <si>
    <t>67%</t>
  </si>
  <si>
    <t>43%</t>
  </si>
  <si>
    <t>29%</t>
  </si>
  <si>
    <t>38%</t>
  </si>
  <si>
    <t>12%</t>
  </si>
  <si>
    <t>Resiliencia Operativa y Flujos de Excepción</t>
  </si>
  <si>
    <t>45%</t>
  </si>
  <si>
    <t>36%</t>
  </si>
  <si>
    <t>18%</t>
  </si>
  <si>
    <t>Runbooks + DRP + Backups de Personas Clave</t>
  </si>
  <si>
    <t>75%</t>
  </si>
  <si>
    <t>25%</t>
  </si>
  <si>
    <t>Mayoritariamente Técnica</t>
  </si>
  <si>
    <t xml:space="preserve">Fast Track Express (Bypass FICO) - </t>
  </si>
  <si>
    <t>Servicio de Precálculo de Oferta Viable (GCP)</t>
  </si>
  <si>
    <t>60%</t>
  </si>
  <si>
    <t>MS Lógica Crédito (Reemplazo Servicio 147)</t>
  </si>
  <si>
    <t>100%</t>
  </si>
  <si>
    <t>80%</t>
  </si>
  <si>
    <t>BigQuery Fuera del Camino Crítico</t>
  </si>
  <si>
    <t>57%</t>
  </si>
  <si>
    <t>Motivo Eliminación</t>
  </si>
  <si>
    <t>Prerrequisitos ACTUALIZADOS (con dependencias cruzadas Func↔Téc)</t>
  </si>
  <si>
    <t>Prerrequisitos y dependencia entre iniciativas (CONECTAR INICIATIVAS TÉCNICAS CON FUNCIONALES EN PRERREQUISITOS)</t>
  </si>
  <si>
    <t>Absorbida por INI-09 (ya declarado previamente)</t>
  </si>
  <si>
    <t>INI-10</t>
  </si>
  <si>
    <t>(Absorbida por INI-09 — Seguimiento y Trazabilidad de Data para Información de Negocio)</t>
  </si>
  <si>
    <t>No existe instrumentación para saber cuántos clientes abandonan en cada nodo del flujo digital y si retoman en sucursal. Clave para medir el impacto del "No" en Simulación y Evaluación.</t>
  </si>
  <si>
    <t>Implementar instrumentación y analítica para medir abandono en cada nodo del flujo digital (TAPP y SVP) y su reconversión/retoma en Sucursal Presencial, identificando específicamente el impacto del “No” en Simulación y Evaluación, para habilitar acciones de recuperación (comercial/operativa) y optimización del journey con datos.</t>
  </si>
  <si>
    <t>B1: Cuantifica el abandono real por nodo digital (dónde se pierden clientes y en qué magnitud).
B2: Mide la reconversión: cuántos abandonan digital y terminan vendiendo en sucursal (atribución omnicanal).
B3: Permite entender el impacto del “No” en Simulación/Evaluación (rechazo vs abandono vs derivación).
B4: Habilita acciones de recuperación (contacto, derivación, recordatorios, ofertas alternativas) basadas en triggers.
B5: Mejora la priorización de mejoras del flujo al tener motivos y fricción medibles (técnicos vs negocio).
B6: Aporta trazabilidad y gobierno de datos (eventos, estados y motivos estandarizados para auditoría/seguimiento).</t>
  </si>
  <si>
    <t>A1: Definir nodos digitales a instrumentar y qué es “abandono” (timeout, cierre app, drop-off, “No”, error) por etapa.
A2: Definir el modelo de eventos (start/finish/decision/error) + motivos/códigos para Simulación y Evaluación.
A3: Definir el mecanismo de vinculación omnicanal para reconversión (ID solicitud/cliente y reglas de deduplicación).
A4: Implementar tracking en TAPP y SVP + captura de decisiones de Simulación/Evaluación y errores técnicos.
A5: Integrar con datos de Sucursal Presencial para detectar retoma/venta posterior y construir atribución.
A6: Construir tableros y reportes (abandono por nodo, reconversión, tiempos entre canales) y ejecutar piloto/calibración.</t>
  </si>
  <si>
    <t>E1: Definición de abandono por nodo (criterios, ventanas de tiempo, reglas de conteo) y mapa de nodos digitales.
E2: Event schema / especificación de instrumentación (payload mínimo, IDs, timestamps, canal, etapa, resultado, motivo).
E3: Catálogo de motivos/códigos para “No” y errores en Simulación/Evaluación (rechazo negocio vs caída técnica vs abandono).
E4: Definición de ID y reconciliación omnicanal (cómo se une TAPP/SVP con Sucursal Presencial para reconversión).
E5: Implementación de tracking en TAPP y SVP (eventos por nodo, decisiones, errores, latencia).
E6: Dataset/modelo analítico de abandono + reconversión (tablas de eventos, sesiones, solicitudes y outcomes).
E7: Dashboards: abandono por nodo/etapa, “No” en Simulación/Evaluación, reconversión a sucursal, cohortes y tiempos.
E8: Validación de datos (calidad, completitud, reconciliación con ventas/curse) + evidencias de prueba.
E9: Reporte baseline y playbook de acciones (triggers para derivar/contactar, y seguimiento del impacto).</t>
  </si>
  <si>
    <t>Requiere instrumentación de eventos en TAPP/SVP, definición de abandono, catálogo de motivos (especialmente “No” en sim/eval) y mecanismo de match con sucursal (Siebel) para reconversión; depende de INI-09 y INI-07, y se fortalece con INI-15 para distinguir abandono vs caída recuperable.
🔗 DEPENDENCIAS CRUZADAS (Func↔Téc): INI-27 (Observabilidad base); INI-28 (Trazabilidad E2E).</t>
  </si>
  <si>
    <t>Requiere instrumentación de eventos en TAPP/SVP, definición de abandono, catálogo de motivos (especialmente “No” en sim/eval) y mecanismo de match con sucursal (Siebel) para reconversión; depende de INI-09 y INI-07, y se fortalece con INI-15 para distinguir abandono vs caída recuperable.</t>
  </si>
  <si>
    <t>Data/BI / Analytics (owner), Canales Digitales (TAPP/SVP), Ger. Sucursal Presencial + Equipo Siebel (match reconversión), TI Integración (eventos/IDs), Operaciones/Comercial</t>
  </si>
  <si>
    <t>FG-31</t>
  </si>
  <si>
    <t>📊 Negocio🟡 Canal</t>
  </si>
  <si>
    <t>Absorbida por INI-09</t>
  </si>
  <si>
    <t>(absorbida por INI-09)</t>
  </si>
  <si>
    <t>BigQuery (absorbida INI-09)</t>
  </si>
  <si>
    <t>Absorbida por INI-13 — Resiliencia Operativa y Flujos de Excepción</t>
  </si>
  <si>
    <t>INI-17</t>
  </si>
  <si>
    <t>(Absorbida por INI-13 — Resiliencia Operativa y Flujos de Excepción)</t>
  </si>
  <si>
    <t>Si validación falla en &gt;X% en ventana de tiempo → alerta operacional automática. Indica problemas en batch nocturno, carga de campaña o calidad de datos. Sensor de salud de Base Aprobados que hoy no existe.</t>
  </si>
  <si>
    <t>Implementar un sensor de salud para la Base de Aprobados que monitoree la tasa de fallas de validación y, si supera un umbral (&gt;X%) dentro de una ventana de tiempo definida, dispare una alerta operacional automática, permitiendo detectar tempranamente problemas de batch nocturno, cargas de campaña o calidad de datos, antes de que afecten la conversión y la experiencia en canales (TAPP/SVP/Sucursal).</t>
  </si>
  <si>
    <t>B1: Detección temprana de incidentes en Base de Aprobados (batch/campaña/calidad) antes de impacto masivo.
B2: Reduce pérdida de conversión por fallas “silenciosas” (clientes que deberían tener oferta pero no pasan validación).
B3: Mejora continuidad operativa con alertas automáticas y tiempos de reacción menores (MTTD/MTTR).
B4: Aumenta confiabilidad de campañas y del canal banner (Express/Normal) al asegurar calidad y disponibilidad de datos.
B5: Entrega trazabilidad para análisis de causa raíz (qué validación falló, desde cuándo, en qué segmento/canal).
B6: Habilita gobierno de datos: métricas de calidad (completitud, consistencia, frescura) y tendencias.</t>
  </si>
  <si>
    <t>A1: Definir qué es “validación” y “falla” (reglas, campos críticos, tipos de error) y qué canales consumen la base.
A2: Definir métricas del sensor: % fallas, volumen, frescura del batch, distribución por motivo; umbrales X% y ventanas de tiempo.
A3: Diseñar la instrumentación: captura de resultados de validación (eventos/logs) y normalización de motivos/códigos.
A4: Implementar el cálculo de métricas y detección de anomalías (thresholds, baseline dinámico si aplica).
A5: Implementar alertamiento operacional (email/Teams/PagerDuty/etc.), rutas de escalamiento y runbook.
A6: Pruebas y puesta en marcha: simulación de fallas, calibración de umbrales y monitoreo inicial.</t>
  </si>
  <si>
    <t>E1: Definición de reglas de validación y catálogo de fallas/motivos (errores de carga, datos incompletos, duplicados, desactualización).
E2: Especificación del sensor (métricas, umbrales X%, ventanas, segmentaciones por canal/campaña).
E3: Diseño de instrumentación (event schema/logs) para capturar validaciones y fallas con trazabilidad.
E4: Implementación del motor de monitoreo (cálculo, detección de anomalías, almacenamiento histórico).
E5: Configuración de alertas y escalamiento + runbook operativo (acciones por tipo de falla).
E6: Dashboard de salud (tendencias, top fallas, frescura del batch, impacto por canal/campaña).
E7: Evidencias de pruebas (simulación de fallas, pruebas de umbrales, no falsos positivos críticos) + UAT operacional.
E8: Plan de operación: responsables, cadencia de revisión, calibración de umbrales y governance de datos.
E9: Reporte baseline inicial (niveles actuales de falla/volumen) y plan de mejora continua.</t>
  </si>
  <si>
    <t>Requiere instrumentar/consumir en FICO (o su capa de integración) el resultado de validación (éxito/falla+motivo), definir umbral X%/ventana y alertamiento operativo con runbook; depende de INI-12, puede reutilizar telemetría/modelo de INI-09 para medir impacto por canal, y opcionalmente apalancarse en INI-11 si los umbrales/reglas del sensor deben parametrizarse.
🔗 DEPENDENCIAS CRUZADAS (Func↔Téc): INI-18 (FICO v7 para instrumentar); INI-27 (Observabilidad para medir impacto).</t>
  </si>
  <si>
    <t>Requiere instrumentar/consumir en FICO (o su capa de integración) el resultado de validación (éxito/falla+motivo), definir umbral X%/ventana y alertamiento operativo con runbook; depende de INI-12, puede reutilizar telemetría/modelo de INI-09 para medir impacto por canal, y opcionalmente apalancarse en INI-11 si los umbrales/reglas del sensor deben parametrizarse.</t>
  </si>
  <si>
    <t>Operaciones (owner operativo de alertas), TI Plataforma/Integración, Proveedor FICO/Ventiv (evento de validación), Ger. Comercial (campañas/cargas), Data/BI (tablero/impacto), Sonda (infra)</t>
  </si>
  <si>
    <t>Absorbida por INI-13</t>
  </si>
  <si>
    <t>(absorbida por INI-13)</t>
  </si>
  <si>
    <t>(absorbida INI-13)</t>
  </si>
  <si>
    <t>Fusionada en INI-18 (duplicado confirmado — mismo scope Blaze v7)</t>
  </si>
  <si>
    <t>INI-19</t>
  </si>
  <si>
    <t>Paridad Completa Blaze v7 / Apagado Definitivo v4</t>
  </si>
  <si>
    <t>Migración completa de todas las reglas, modelos y configuraciones remanentes de Blaze v4 a v7. Validación de paridad funcional con pruebas A/B en paralelo. Apagado definitivo de la instancia v4 y liberación de infraestructura.</t>
  </si>
  <si>
    <t>Lograr 100% de paridad funcional entre v4 y v7. Apagar definitivamente v4 para eliminar complejidad operativa y riesgo de inconsistencias en el scoring.</t>
  </si>
  <si>
    <t>B1	🟢 Cuantitativo	Liberación de infraestructura v4	Recursos OCI liberados (CPU, memoria, licencias)
B2	🟡 Cualitativo	Eliminación de riesgo de inconsistencia	Un solo motor elimina discrepancias en resultados de scoring</t>
  </si>
  <si>
    <t>A1	Auditoría final de reglas no migradas	Validar que no existen reglas huérfanas en v4
A2	Ejecución de pruebas de regresión completas	Suite de pruebas con casos reales históricos
A3	Apagado coordinado de v4	Ventana de mantenimiento, comunicación, rollback plan
A4	Liberación de recursos	Desprovisionar infraestructura v4 en OCI</t>
  </si>
  <si>
    <t>E1	Reporte de auditoría de reglas v4
E2	Resultados de pruebas de regresión
E3	Acta de apagado v4
E4	Reporte de recursos liberados</t>
  </si>
  <si>
    <t>INI-18 completada (consolidación v7)
🔗 DEPENDENCIAS CRUZADAS (Téc→Func): INI-11 (Desacople reglas negocio — definición funcional de qué migrar).</t>
  </si>
  <si>
    <t>INI-18 completada (consolidación v7)</t>
  </si>
  <si>
    <t>Ger. Riesgo, Proveedor FICO/Ventiv, TI Infraestructura</t>
  </si>
  <si>
    <t>Blaze v7 paridad → misma lógica que INI-18</t>
  </si>
  <si>
    <t>Blaze v4, Blaze v7</t>
  </si>
  <si>
    <t>Blaze v4 (Nashorn) → Blaze v7 (paridad reglas)</t>
  </si>
  <si>
    <t>Fusionada en INI-12 (duplicado gobierno E2E — misma iniciativa macro)</t>
  </si>
  <si>
    <t>INI-29</t>
  </si>
  <si>
    <t>Gobierno E2E del Proceso de Crédito (Owner + RACI + Cadencias)</t>
  </si>
  <si>
    <t>Designación de owner E2E del proceso de otorgamiento de crédito. Matriz RACI por componente y gerencia. Cadencias formales: daily operativo, semanal táctica, quincenal estratégica. Gobierno incremental en cada TO-BE.</t>
  </si>
  <si>
    <t>Formalizar la gobernanza TI que hoy no existe. Asignar responsabilidades claras por gerencia. Establecer ritmo de gestión para detección temprana de problemas.</t>
  </si>
  <si>
    <t>B1	🟡 Cualitativo	Owner E2E definido	Por primera vez hay un responsable del proceso completo
B2	🟡 Cualitativo	RACI claro	Cada gerencia sabe qué le toca
B3	🟢 Cuantitativo	Detección temprana	Cadencias permiten detectar problemas antes de que escalen</t>
  </si>
  <si>
    <t>A1	Designación de owner E2E	Definir y formalizar el rol con gerencia general
A2	Construcción de matriz RACI	Por componente, por gerencia, por etapa del flujo
A3	Definición de cadencias	Daily (operativo), semanal (táctico), quincenal (estratégico)
A4	Implementación de CAB	Change Advisory Board para gestión de cambios
A5	Escalamiento progresivo	Desde Ciclo 1 (básico) a Ciclo 3 (maduro con ITIL completo)</t>
  </si>
  <si>
    <t>E1	Acta de designación de owner E2E
E2	Matriz RACI documentada
E3	Calendario de cadencias
E4	Estatutos del CAB
E5	Modelo de gobierno por fase</t>
  </si>
  <si>
    <t>Sponsor de gerencia general, Compromiso de gerencias funcionales
🔗 DEPENDENCIAS CRUZADAS (Téc→Func): INI-12 (Gobierno funcional — contraparte funcional).</t>
  </si>
  <si>
    <t>Sponsor de gerencia general, Compromiso de gerencias funcionales</t>
  </si>
  <si>
    <t>Gerencia General, Ger. TI, Ger. Riesgo, Ger. Producto, Ger. Clientes</t>
  </si>
  <si>
    <t>Gobierno E2E, owner, RACI, cadencias</t>
  </si>
  <si>
    <t>Owner E2E, RACI, cadencias, CAB</t>
  </si>
  <si>
    <t>Fusionada en INI-33 (duplicado herramienta parametrización)</t>
  </si>
  <si>
    <t>INI-45</t>
  </si>
  <si>
    <t>Herramienta de Parametrización y Configuración de Reglas de Riesgo</t>
  </si>
  <si>
    <t>INI-11 define QUÉ reglas parametrizar. INI-33 propone +IA. Ninguna aborda LA HERRAMIENTA para que Riesgo modifique reglas sin TI. Hoy cualquier cambio requiere Ventiv/FICO + deploy + ventana.</t>
  </si>
  <si>
    <t>Dotar a Ger. Riesgo de herramienta para visualizar, simular, aprobar y desplegar cambios de reglas sin TI.</t>
  </si>
  <si>
    <t>Reducción time-to-change (semanas→horas), eliminación dependencia Ventiv, trazabilidad, simulación pre-deploy</t>
  </si>
  <si>
    <t>A1-A6: Catálogo reglas → Evaluar herramientas → Workflow → Implementar → Migrar reglas → Piloto</t>
  </si>
  <si>
    <t>Catálogo reglas, evaluación herramientas, workflow, herramienta integrada Blaze v7, reglas migradas, piloto</t>
  </si>
  <si>
    <t>INI-11 (qué reglas), INI-18/INI-19 (Blaze v7 estabilizado), INI-33 (evolución futura con IA)</t>
  </si>
  <si>
    <t>INI-11, INI-18, INI-19, INI-33</t>
  </si>
  <si>
    <t>H2 (TO-BE 2, 6-12m) — requiere Blaze v7 estabilizado</t>
  </si>
  <si>
    <t>Ger. Riesgo, TI Desarrollo, Ventiv/FICO</t>
  </si>
  <si>
    <t>Reglas operan en pre-evaluación y evaluación formal. Herramienta aplica a ambas.</t>
  </si>
  <si>
    <t>Blaze Advisor v7, OSB/Camel</t>
  </si>
  <si>
    <t>Motor de Decisión + Herramienta</t>
  </si>
  <si>
    <t>Lógica de Negocio (self-service)</t>
  </si>
  <si>
    <t>OCI/OKE (Blaze) + GCP (UI herramienta)</t>
  </si>
  <si>
    <t>Blaze Advisor v7, BRMS UI/Drools/Custom Dashboard, workflow aprobación, 120+ reglas</t>
  </si>
  <si>
    <t>#</t>
  </si>
  <si>
    <t>Etapa TO-BE</t>
  </si>
  <si>
    <t>🟣 Cliente🔴 Riesgo</t>
  </si>
  <si>
    <t>🔴 Riesgo🟡 Canal 🟢 Producto</t>
  </si>
  <si>
    <t>🔴 Riesgo 🟢 Producto 🟣 Cliente</t>
  </si>
  <si>
    <t>🟢 Producto🔴 Riesgo</t>
  </si>
  <si>
    <t>🔴 Riesgo🟡 Canal</t>
  </si>
  <si>
    <t>📊 Negocio🔴 Riesgo</t>
  </si>
  <si>
    <t>BigQuery fuera del camino crítico → afecta generación</t>
  </si>
  <si>
    <t>🔴 Riesgo 🟢 Producto🟣 Cliente</t>
  </si>
  <si>
    <t>🔴 Riesgo📊 Negocio</t>
  </si>
  <si>
    <t>🟡 Canal📊 Negocio</t>
  </si>
  <si>
    <t>🟡 Canal🟣 Cliente</t>
  </si>
  <si>
    <t>FG-38: Racionalización Pre-evaluación/Evaluación → unifica nodos Simula + Evalúa</t>
  </si>
  <si>
    <t>🔴 Riesgo 🟢 Producto🟣 Cliente 🟡 Canal</t>
  </si>
  <si>
    <t>E1: Estabilidad Motor FICO (0-3)</t>
  </si>
  <si>
    <t>E1: Reducción Errores/KO Falsos (0-3)</t>
  </si>
  <si>
    <t>E1: Observabilidad/Diagnóstico (0-2)</t>
  </si>
  <si>
    <t>E1: Contingencia/Resiliencia (0-2)</t>
  </si>
  <si>
    <t>SCORE E1: Continuidad Operativa (0-10)</t>
  </si>
  <si>
    <t>NIVEL E1: Continuidad Operativa</t>
  </si>
  <si>
    <t>E2: Prerreq/Desbloqueo INIs (0-3)</t>
  </si>
  <si>
    <t>E2: Avance TO-BE/Modernización (0-3)</t>
  </si>
  <si>
    <t>E2: Conversión/Experiencia (0-2)</t>
  </si>
  <si>
    <t>E2: Gobierno/Madurez Org. (0-2)</t>
  </si>
  <si>
    <t>SCORE E2: Habilitación Estratégica (0-10)</t>
  </si>
  <si>
    <t>NIVEL E2: Habilitación Estratégica</t>
  </si>
  <si>
    <t>SCORE GLOBAL (0-20)</t>
  </si>
  <si>
    <t>NIVEL CRITICIDAD GLOBAL</t>
  </si>
  <si>
    <t>CRITICIDAD HTML</t>
  </si>
  <si>
    <t>accesos/conectividad a ambientes FICO, definición de umbrales/reglas y manejo de excepciones por Riesgo (no-hit/error/data insuficiente) y trazabilidad/auditoría; y se integra con , , ,  y medición</t>
  </si>
  <si>
    <t>1 Alta</t>
  </si>
  <si>
    <t>0 Crítica</t>
  </si>
  <si>
    <t>2 Media</t>
  </si>
  <si>
    <t>3 Baja</t>
  </si>
  <si>
    <t>"Simula" y "Evalúa FICO" son dos nodos separados. Hoy la preevaluación y la evaluación arrojan el mismo resultado en un % de casos → la evaluación formal no agrega valor diferencial.</t>
  </si>
  <si>
    <t>Racionalizar el journey de Pre-evaluación y Evaluación FICO (hoy separados en “Simula” y “Evalúa FICO”) para eliminar redundancias y reducir llamadas/tiempos, asegurando que cada evaluación agregue valor real (riesgo/compliance) y manteniendo trazabilidad y controles, especialmente en los flujos donde hoy pre-evaluación y evaluación entregan el mismo resultado en un % relevante de casos.</t>
  </si>
  <si>
    <t>E1: Informe de diagnóstico: análisis de duplicidad (KPIs, segmentos, causas, ahorro estimado).
E2: Diseño funcional TO-BE racionalizado (diagrama del flujo y decisiones: unificado / reutilización / control mínimo).
E3: Política de vigencia/TTL y criterios de re-evaluación (cambios que gatillan nueva evaluación).
E4: Especificación de reglas de equivalencia y manejo de excepciones (no hit, error técnico, data insuficiente).
E5: Ajustes a contratos/APIs de evaluación (si aplica): campos para reuso de resultado, idempotencia, trazabilidad.
E6: Implementación en orquestador/microservicios (caching controlado / reutilización / eliminación de nodo redundante).
E7: Plan y evidencias de pruebas (E2E por flujo: Express/Normal/Sin oferta; performance y resiliencia) + UAT.
E8: Tablero de monitoreo post-implementación (TAT, # llamadas FICO, tasa de reuso, conversión, drift de riesgo) + alertas.
E9: Reporte de piloto y decisión de escalamiento (parámetros finales y governance de cambios).</t>
  </si>
  <si>
    <t>INI-01, INI-09, INI-11, INI-12, INI-25, INI-27</t>
  </si>
  <si>
    <t>baseline cuantitativo de duplicidad pre-eval vs eval, acuerdos Riesgo/Compliance para reuso/TTL y capacidad técnica de caching/reuso auditable; y de , e impacta directamente los diseños/llamadas de  y de la evaluación formal del TO-BE; se apalanca en  para parametría</t>
  </si>
  <si>
    <t>Hoy si un componente falla (crítico o no) el flujo completo se detiene sin rutas alternativas. No existe clasificación de dependencias por criticidad, ni fallbacks definidos, ni monitoreo proactivo de la salud de componentes clave (como la Base de Aprobados y su batch nocturno). Tampoco hay un plan de acción para mantener nivel de servicio cuando se depreca o migra un sistema. Esta iniciativa unifica: (1) resiliencia funcional con modos degradados y fallbacks por etapa/canal; (2) sensor de salud de componentes críticos (Base de Aprobados, batch, campañas); y (3) flujos de excepción que definan cómo operar cuando un sistema se depreca, migra o falla prolongadamente, asegurando continuidad parcial controlada del servicio de crédito.</t>
  </si>
  <si>
    <t>Diseñar e implementar un marco integral de resiliencia operativa y flujos de excepción para el proceso de admisión de crédito que: (1) clasifique dependencias por criticidad y defina modos degradados con fallbacks controlados por etapa/canal/tipo de cliente; (2) implemente sensores de salud proactivos para componentes críticos (Base de Aprobados, batch nocturno, campañas, motores) que detecten anomalías y disparen alertas antes de impacto masivo; (3) establezca flujos de excepción formales para escenarios de deprecación, migración o falla prolongada de sistemas, definiendo cómo mantener cierto nivel de servicio durante la transición; reduciendo caídas totales, mejorando continuidad operativa, tiempo de detección/reacción (MTTD/MTTR) y manteniendo control de riesgo/compliance en todo momento.</t>
  </si>
  <si>
    <t>E1: Matriz de dependencias y criticidad por etapa/canal (qué es crítico vs no crítico).
E2: Catálogo de modos degradados y fallbacks aprobados (por falla y por etapa), con condiciones de activación.
E3: Reglas de continuidad vs stop (qué se permite bypassear, qué deriva a humano, qué se rechaza/pausa).
E4: Especificación del sensor de salud (métricas, umbrales, ventanas, segmentaciones por canal/campaña) para Base de Aprobados y otros componentes críticos.
E5: Definición de reglas de validación y catálogo de fallas/motivos (errores de carga, datos incompletos, duplicados, desactualización).
E6: Diseño de flujos de excepción para deprecación/migración de sistemas (procedimiento, criterios activación, rollback, comunicación).
E7: Diseño técnico de resiliencia (timeouts, circuit breakers, colas/retry, caching, idempotencia, store de estado).
E8: Implementación del motor de monitoreo/sensor (cálculo, detección de anomalías, almacenamiento histórico).
E9: Catálogo de motivos/códigos de fallas y fallback activado (para analítica y auditoría).
E10: Implementación en orquestador/microservicios/canales (configuración por ambiente, feature flags).
E11: Configuración de alertas y escalamiento + runbooks operativos por tipo de incidente.
E12: Dashboard integrado de salud y resiliencia (tasa de fallback, sensor de salud, impacto en conversión, latencias, errores).
E13: Plan y evidencias de pruebas de resiliencia (fallas simuladas, recuperación, calibración umbrales) + UAT.
E14: Plan de operación: responsables, cadencia de revisión, calibración, governance.</t>
  </si>
  <si>
    <t>clasificación de dependencias críticas/no críticas, patrones de resiliencia (timeouts/circuit breaker/colas/retry), instrumentación de validación en FICO/Base Aprobados (éxito/falla+motivo), definición de umbrales y ventanas, runbooks y aprobación de fallbacks por Riesgo; se apalanca en ,  y se mide con . Absorbe el alcance completo de la anterior  (sensor de salud Base Aprobados). Los flujos de excepción por deprecación son clave para los ciclos TO-BE 2 y 3 (migración OSB→Camel, Siebel→Salesforce)</t>
  </si>
  <si>
    <t>Mover consultas a BigQuery fuera del flujo síncrono de evaluación de crédito. Caché local para datos requeridos en tiempo real. Consultas analíticas a procesamiento asíncrono.</t>
  </si>
  <si>
    <t>Eliminar BigQuery como punto de fallo en el camino crítico. Reducir latencia de evaluación. Mantener capacidades analíticas sin impactar tiempo de respuesta.</t>
  </si>
  <si>
    <t>E1	Mapa de consultas BigQuery en camino crítico
E2	Caché local implementada
E3	Consultas analíticas en modo asíncrono
E4	Reporte de pruebas de resiliencia</t>
  </si>
  <si>
    <t>INI-09, INI-25</t>
  </si>
  <si>
    <t>Acceso a BigQuery</t>
  </si>
  <si>
    <t>Romper la cadena de obsolescencia tecnológica. Habilitar escalabilidad horizontal. Reducir costos de licenciamiento Oracle.</t>
  </si>
  <si>
    <t>Optimizar proceso creación/distribución bases campaña: reducir handoffs, establecer SLAs, conectar con BD Corporativa y canal digital.</t>
  </si>
  <si>
    <t>Evaluación UX completa (research + prototipado + test A/B) para medir cómo percibe el afiliado 3 variantes de presentación de oferta: A (simple actual), B (paquete integrado — 'todo incluido'), C (desglose transparente — toggle on/off). Foco: ¿cuál prefiere? ¿cuál lo frustra menos? ¿cuál genera mayor confianza y menor abandono?</t>
  </si>
  <si>
    <t>O1: Variante que maximiza conversión (A/B, n≥500)
O2: Comprensión ≥85%
O3: Prototipos Figma listos para TAPP
O4: Reducir abandono en pantalla oferta
O5: Reducir reclamos post-venta
O6: Cerrar brecha digital vs presencial
O7: Decisiones basadas en evidencia UX</t>
  </si>
  <si>
    <t>E1: Auditoría heurística + benchmark
E2: Research cualitativo
E3: 3 prototipos Figma
E4: Test usabilidad
E5: Test A/B cuantitativo
E6: Análisis reclamos + checklist normativo
E7: Informe ejecutivo + prototipos definitivos
E8: Minuta decisión firmada</t>
  </si>
  <si>
    <t>INI-09 🟡 (Funnel: datos abandono)
INI-12 🟡 (Gobierno: foro aprobación)
INI-03 🟡 (Fast Track: UX oferta express)
⚠️ NINGUNO BLOQUEANTE</t>
  </si>
  <si>
    <t>• Acceso analytics TAPP
• Base reclamos SERNAC/internos (12m)
• Panel afiliados para research
• Figma con licencia
• Feature flags TAPP
• Aprobación Ger. Producto
• Revisión Legal (obligatorios vs opcionales)
• Incentivos participantes (~1.5 UF/persona)</t>
  </si>
  <si>
    <t>Orden de Magnitud</t>
  </si>
  <si>
    <t>HH (USD)</t>
  </si>
  <si>
    <t>Licencias (USD)</t>
  </si>
  <si>
    <t>Infra Cloud (USD)</t>
  </si>
  <si>
    <t>Herramientas (USD)</t>
  </si>
  <si>
    <t>Capacitación (USD)</t>
  </si>
  <si>
    <t>Contingencia (USD)</t>
  </si>
  <si>
    <t>USD Redondeado</t>
  </si>
  <si>
    <t>Con Guion</t>
  </si>
  <si>
    <t>Retomabilidad Omnicanal (Persistencia de Estado) - digital y presencial</t>
  </si>
  <si>
    <t>INI-50</t>
  </si>
  <si>
    <t>Al 45% UF</t>
  </si>
  <si>
    <t>&lt;-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</si>
</sst>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32" x14ac:knownFonts="1">
    <font>
      <sz val="11"/>
      <color theme="1"/>
      <name val="Aptos Narrow"/>
      <family val="2"/>
      <scheme val="minor"/>
    </font>
    <font>
      <b/>
      <sz val="8"/>
      <color rgb="FFC0392B"/>
      <name val="Segoe UI"/>
      <family val="2"/>
    </font>
    <font>
      <b/>
      <sz val="8"/>
      <color rgb="FFD68910"/>
      <name val="Segoe UI"/>
      <family val="2"/>
    </font>
    <font>
      <b/>
      <sz val="8"/>
      <color rgb="FF8E44AD"/>
      <name val="Segoe UI"/>
      <family val="2"/>
    </font>
    <font>
      <b/>
      <sz val="8"/>
      <color rgb="FFE67E22"/>
      <name val="Segoe UI"/>
      <family val="2"/>
    </font>
    <font>
      <b/>
      <sz val="8"/>
      <color rgb="FF2471A3"/>
      <name val="Segoe UI"/>
      <family val="2"/>
    </font>
    <font>
      <b/>
      <sz val="8"/>
      <color rgb="FF2471A3"/>
      <name val="Segoe UI"/>
    </font>
    <font>
      <b/>
      <sz val="8"/>
      <color rgb="FFC0392B"/>
      <name val="Segoe UI"/>
    </font>
    <font>
      <b/>
      <sz val="8"/>
      <color rgb="FF27AE60"/>
      <name val="Segoe UI"/>
    </font>
    <font>
      <b/>
      <sz val="10"/>
      <color rgb="FFE74C0C"/>
      <name val="Segoe UI"/>
    </font>
    <font>
      <sz val="9"/>
      <color rgb="FF666666"/>
      <name val="Segoe UI"/>
    </font>
    <font>
      <sz val="11"/>
      <color rgb="FF000000"/>
      <name val="Calibri"/>
      <family val="2"/>
    </font>
    <font>
      <sz val="8"/>
      <name val="Aptos Narrow"/>
      <family val="2"/>
      <scheme val="minor"/>
    </font>
    <font>
      <b/>
      <sz val="8"/>
      <color rgb="FF00B050"/>
      <name val="Segoe UI"/>
      <family val="2"/>
    </font>
    <font>
      <b/>
      <sz val="8"/>
      <color rgb="FFD68910"/>
      <name val="Segoe UI"/>
    </font>
    <font>
      <b/>
      <sz val="8"/>
      <color rgb="FF8E44AD"/>
      <name val="Segoe UI"/>
    </font>
    <font>
      <b/>
      <sz val="8"/>
      <color rgb="FFE67E22"/>
      <name val="Segoe UI"/>
    </font>
    <font>
      <b/>
      <sz val="8"/>
      <color rgb="FFC00000"/>
      <name val="Segoe UI"/>
      <family val="2"/>
    </font>
    <font>
      <b/>
      <sz val="8"/>
      <color rgb="FFFFC000"/>
      <name val="Segoe UI"/>
      <family val="2"/>
    </font>
    <font>
      <b/>
      <sz val="8"/>
      <color theme="7" tint="-0.249977111117893"/>
      <name val="Segoe UI"/>
      <family val="2"/>
    </font>
    <font>
      <sz val="9"/>
      <name val="Segoe UI"/>
    </font>
    <font>
      <b/>
      <sz val="11"/>
      <name val="Calibri"/>
    </font>
    <font>
      <b/>
      <sz val="12"/>
      <color rgb="FFE74C0C"/>
      <name val="Segoe UI"/>
      <family val="2"/>
    </font>
    <font>
      <sz val="12"/>
      <color theme="1"/>
      <name val="Aptos Narrow"/>
      <family val="2"/>
      <scheme val="minor"/>
    </font>
    <font>
      <b/>
      <sz val="11"/>
      <color theme="1"/>
      <name val="Aptos Narrow"/>
      <family val="2"/>
      <scheme val="minor"/>
    </font>
    <font>
      <b/>
      <sz val="11"/>
      <name val="Calibri"/>
      <family val="2"/>
    </font>
    <font>
      <b/>
      <sz val="12"/>
      <color rgb="FFE74C0C"/>
      <name val="Segoe UI"/>
    </font>
    <font>
      <sz val="11"/>
      <color rgb="FF000000"/>
      <name val="Calibri"/>
    </font>
    <font>
      <sz val="9"/>
      <name val="Segoe UI"/>
      <charset val="1"/>
    </font>
    <font>
      <b/>
      <sz val="12"/>
      <name val="Calibri"/>
    </font>
    <font>
      <sz val="9.6"/>
      <color rgb="FF424242"/>
      <name val="Arial"/>
      <family val="2"/>
    </font>
    <font>
      <sz val="11"/>
      <color theme="0"/>
      <name val="Aptos Narrow"/>
      <family val="2"/>
      <scheme val="minor"/>
    </font>
  </fonts>
  <fills count="12">
    <fill>
      <patternFill patternType="none"/>
    </fill>
    <fill>
      <patternFill patternType="gray125"/>
    </fill>
    <fill>
      <patternFill patternType="solid">
        <fgColor rgb="FFFFFFFF"/>
        <bgColor indexed="64"/>
      </patternFill>
    </fill>
    <fill>
      <patternFill patternType="solid">
        <fgColor rgb="FFFDF6F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79998168889431442"/>
        <bgColor indexed="64"/>
      </patternFill>
    </fill>
    <fill>
      <patternFill patternType="solid">
        <fgColor rgb="FFDAE8FC"/>
        <bgColor rgb="FFDAE8FC"/>
      </patternFill>
    </fill>
    <fill>
      <patternFill patternType="solid">
        <fgColor rgb="FF92D050"/>
        <bgColor indexed="64"/>
      </patternFill>
    </fill>
    <fill>
      <patternFill patternType="solid">
        <fgColor rgb="FFFFFFFF"/>
        <bgColor rgb="FF000000"/>
      </patternFill>
    </fill>
    <fill>
      <patternFill patternType="solid">
        <fgColor rgb="FF00B050"/>
        <bgColor indexed="64"/>
      </patternFill>
    </fill>
    <fill>
      <patternFill patternType="solid">
        <fgColor theme="6" tint="0.7999816888943144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rgb="FFCCCCCC"/>
      </left>
      <right style="thin">
        <color rgb="FFCCCCCC"/>
      </right>
      <top style="thin">
        <color rgb="FFCCCCCC"/>
      </top>
      <bottom style="thin">
        <color rgb="FFCCCCCC"/>
      </bottom>
      <diagonal/>
    </border>
    <border>
      <left/>
      <right style="thin">
        <color rgb="FFD5D8DC"/>
      </right>
      <top style="thin">
        <color rgb="FFD5D8DC"/>
      </top>
      <bottom style="thin">
        <color rgb="FFD5D8DC"/>
      </bottom>
      <diagonal/>
    </border>
    <border>
      <left style="thin">
        <color rgb="FFD5D8DC"/>
      </left>
      <right style="thin">
        <color rgb="FFD5D8DC"/>
      </right>
      <top/>
      <bottom style="thin">
        <color rgb="FFD5D8DC"/>
      </bottom>
      <diagonal/>
    </border>
    <border>
      <left style="medium">
        <color rgb="FFCDCDCD"/>
      </left>
      <right/>
      <top/>
      <bottom style="medium">
        <color rgb="FFCDCDCD"/>
      </bottom>
      <diagonal/>
    </border>
    <border>
      <left style="medium">
        <color rgb="FFCDCDCD"/>
      </left>
      <right style="medium">
        <color rgb="FFCDCDCD"/>
      </right>
      <top/>
      <bottom style="medium">
        <color rgb="FFCDCDCD"/>
      </bottom>
      <diagonal/>
    </border>
  </borders>
  <cellStyleXfs count="1">
    <xf numFmtId="0" fontId="0" fillId="0" borderId="0"/>
  </cellStyleXfs>
  <cellXfs count="77">
    <xf numFmtId="0" fontId="0" fillId="0" borderId="0" xfId="0"/>
    <xf numFmtId="0" fontId="1" fillId="2" borderId="1" xfId="0" applyFont="1" applyFill="1" applyBorder="1" applyAlignment="1">
      <alignment vertical="top" wrapText="1" indent="1"/>
    </xf>
    <xf numFmtId="0" fontId="2" fillId="2" borderId="1" xfId="0" applyFont="1" applyFill="1" applyBorder="1" applyAlignment="1">
      <alignment vertical="top" wrapText="1" indent="1"/>
    </xf>
    <xf numFmtId="0" fontId="3" fillId="3" borderId="1" xfId="0" applyFont="1" applyFill="1" applyBorder="1" applyAlignment="1">
      <alignment vertical="top" wrapText="1" indent="1"/>
    </xf>
    <xf numFmtId="0" fontId="4" fillId="2" borderId="1" xfId="0" applyFont="1" applyFill="1" applyBorder="1" applyAlignment="1">
      <alignment vertical="top" wrapText="1" indent="1"/>
    </xf>
    <xf numFmtId="0" fontId="5" fillId="2" borderId="1" xfId="0" applyFont="1" applyFill="1" applyBorder="1" applyAlignment="1">
      <alignment vertical="top" wrapText="1" indent="1"/>
    </xf>
    <xf numFmtId="0" fontId="5" fillId="3" borderId="1" xfId="0" applyFont="1" applyFill="1" applyBorder="1" applyAlignment="1">
      <alignment vertical="top" wrapText="1" indent="1"/>
    </xf>
    <xf numFmtId="0" fontId="8" fillId="2" borderId="1" xfId="0" applyFont="1" applyFill="1" applyBorder="1" applyAlignment="1">
      <alignment vertical="top" wrapText="1" indent="1"/>
    </xf>
    <xf numFmtId="0" fontId="7" fillId="3" borderId="1" xfId="0" applyFont="1" applyFill="1" applyBorder="1" applyAlignment="1">
      <alignment vertical="top" wrapText="1" indent="1"/>
    </xf>
    <xf numFmtId="0" fontId="6" fillId="3" borderId="1" xfId="0" applyFont="1" applyFill="1" applyBorder="1" applyAlignment="1">
      <alignment vertical="top" wrapText="1" indent="1"/>
    </xf>
    <xf numFmtId="0" fontId="6" fillId="3" borderId="2" xfId="0" applyFont="1" applyFill="1" applyBorder="1" applyAlignment="1">
      <alignment vertical="top" wrapText="1" indent="1"/>
    </xf>
    <xf numFmtId="0" fontId="0" fillId="0" borderId="0" xfId="0" applyAlignment="1">
      <alignment wrapText="1"/>
    </xf>
    <xf numFmtId="0" fontId="7" fillId="2" borderId="1" xfId="0" applyFont="1" applyFill="1" applyBorder="1" applyAlignment="1">
      <alignment vertical="top" wrapText="1" indent="1"/>
    </xf>
    <xf numFmtId="0" fontId="14" fillId="2" borderId="1" xfId="0" applyFont="1" applyFill="1" applyBorder="1" applyAlignment="1">
      <alignment vertical="top" wrapText="1" indent="1"/>
    </xf>
    <xf numFmtId="0" fontId="15" fillId="3" borderId="1" xfId="0" applyFont="1" applyFill="1" applyBorder="1" applyAlignment="1">
      <alignment vertical="top" wrapText="1" indent="1"/>
    </xf>
    <xf numFmtId="0" fontId="16" fillId="2" borderId="1" xfId="0" applyFont="1" applyFill="1" applyBorder="1" applyAlignment="1">
      <alignment vertical="top" wrapText="1" indent="1"/>
    </xf>
    <xf numFmtId="0" fontId="6" fillId="2" borderId="1" xfId="0" applyFont="1" applyFill="1" applyBorder="1" applyAlignment="1">
      <alignment vertical="top" wrapText="1" indent="1"/>
    </xf>
    <xf numFmtId="0" fontId="21" fillId="8" borderId="1" xfId="0" applyFont="1" applyFill="1" applyBorder="1" applyAlignment="1">
      <alignment horizontal="center" vertical="center"/>
    </xf>
    <xf numFmtId="0" fontId="21" fillId="8" borderId="1" xfId="0" applyFont="1" applyFill="1" applyBorder="1" applyAlignment="1">
      <alignment horizontal="center" vertical="center" wrapText="1"/>
    </xf>
    <xf numFmtId="0" fontId="0" fillId="0" borderId="0" xfId="0" applyAlignment="1">
      <alignment vertical="center"/>
    </xf>
    <xf numFmtId="0" fontId="9" fillId="5" borderId="1" xfId="0" applyFont="1" applyFill="1" applyBorder="1" applyAlignment="1">
      <alignment vertical="center"/>
    </xf>
    <xf numFmtId="0" fontId="9" fillId="0" borderId="1" xfId="0" applyFont="1" applyBorder="1" applyAlignment="1">
      <alignment vertical="center" wrapText="1"/>
    </xf>
    <xf numFmtId="0" fontId="11" fillId="3" borderId="1" xfId="0" applyFont="1" applyFill="1" applyBorder="1" applyAlignment="1">
      <alignment vertical="center" wrapText="1"/>
    </xf>
    <xf numFmtId="0" fontId="11" fillId="3" borderId="1" xfId="0" applyFont="1" applyFill="1" applyBorder="1" applyAlignment="1">
      <alignment horizontal="center" vertical="center" wrapText="1"/>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center" vertical="center"/>
    </xf>
    <xf numFmtId="0" fontId="21" fillId="0" borderId="1" xfId="0" applyFont="1" applyBorder="1" applyAlignment="1">
      <alignment horizontal="center" vertical="top"/>
    </xf>
    <xf numFmtId="0" fontId="21" fillId="0" borderId="1" xfId="0" applyFont="1" applyBorder="1" applyAlignment="1">
      <alignment horizontal="center" vertical="center"/>
    </xf>
    <xf numFmtId="0" fontId="21" fillId="0" borderId="1" xfId="0" applyFont="1" applyBorder="1" applyAlignment="1">
      <alignment horizontal="center" vertical="center" wrapText="1"/>
    </xf>
    <xf numFmtId="0" fontId="21" fillId="8" borderId="1" xfId="0" applyFont="1" applyFill="1" applyBorder="1" applyAlignment="1">
      <alignment horizontal="center" vertical="top" wrapText="1"/>
    </xf>
    <xf numFmtId="0" fontId="11" fillId="3" borderId="1" xfId="0" applyFont="1" applyFill="1" applyBorder="1" applyAlignment="1">
      <alignment vertical="center"/>
    </xf>
    <xf numFmtId="0" fontId="11" fillId="3" borderId="1" xfId="0" applyFont="1" applyFill="1" applyBorder="1" applyAlignment="1">
      <alignment horizontal="center" vertical="center"/>
    </xf>
    <xf numFmtId="0" fontId="21" fillId="0" borderId="1" xfId="0" applyFont="1" applyBorder="1" applyAlignment="1">
      <alignment horizontal="center" vertical="top" wrapText="1"/>
    </xf>
    <xf numFmtId="0" fontId="10" fillId="6" borderId="1" xfId="0" applyFont="1" applyFill="1" applyBorder="1" applyAlignment="1">
      <alignment vertical="top"/>
    </xf>
    <xf numFmtId="0" fontId="10" fillId="2" borderId="1" xfId="0" applyFont="1" applyFill="1" applyBorder="1" applyAlignment="1">
      <alignment vertical="top"/>
    </xf>
    <xf numFmtId="0" fontId="20" fillId="7" borderId="4" xfId="0" applyFont="1" applyFill="1" applyBorder="1" applyAlignment="1">
      <alignment vertical="top"/>
    </xf>
    <xf numFmtId="0" fontId="21" fillId="8" borderId="1" xfId="0" applyFont="1" applyFill="1" applyBorder="1" applyAlignment="1">
      <alignment horizontal="center" vertical="top"/>
    </xf>
    <xf numFmtId="0" fontId="22" fillId="0" borderId="1" xfId="0" applyFont="1" applyBorder="1" applyAlignment="1">
      <alignment vertical="center" wrapText="1"/>
    </xf>
    <xf numFmtId="0" fontId="23" fillId="0" borderId="0" xfId="0" applyFont="1" applyAlignment="1">
      <alignment vertical="center" wrapText="1"/>
    </xf>
    <xf numFmtId="0" fontId="9" fillId="4" borderId="1" xfId="0" applyFont="1" applyFill="1" applyBorder="1" applyAlignment="1">
      <alignment vertical="center"/>
    </xf>
    <xf numFmtId="9" fontId="0" fillId="0" borderId="0" xfId="0" applyNumberFormat="1" applyAlignment="1">
      <alignment horizontal="center" vertical="center"/>
    </xf>
    <xf numFmtId="0" fontId="10" fillId="2" borderId="1" xfId="0" applyFont="1" applyFill="1" applyBorder="1" applyAlignment="1">
      <alignment horizontal="center" vertical="top"/>
    </xf>
    <xf numFmtId="0" fontId="21" fillId="0" borderId="1" xfId="0" applyFont="1" applyBorder="1" applyAlignment="1">
      <alignment horizontal="left" vertical="top"/>
    </xf>
    <xf numFmtId="0" fontId="0" fillId="0" borderId="0" xfId="0" applyAlignment="1">
      <alignment horizontal="left"/>
    </xf>
    <xf numFmtId="0" fontId="21" fillId="8" borderId="3" xfId="0" applyFont="1" applyFill="1" applyBorder="1" applyAlignment="1">
      <alignment horizontal="center" vertical="center"/>
    </xf>
    <xf numFmtId="0" fontId="11" fillId="3" borderId="3" xfId="0" applyFont="1" applyFill="1" applyBorder="1" applyAlignment="1">
      <alignment horizontal="center" vertical="center"/>
    </xf>
    <xf numFmtId="0" fontId="24" fillId="0" borderId="1" xfId="0" applyFont="1" applyBorder="1" applyAlignment="1">
      <alignment horizontal="center" vertical="center"/>
    </xf>
    <xf numFmtId="0" fontId="26" fillId="0" borderId="1" xfId="0" applyFont="1" applyBorder="1" applyAlignment="1">
      <alignment vertical="center" wrapText="1"/>
    </xf>
    <xf numFmtId="0" fontId="27" fillId="3" borderId="1" xfId="0" applyFont="1" applyFill="1" applyBorder="1" applyAlignment="1">
      <alignment vertical="center" wrapText="1"/>
    </xf>
    <xf numFmtId="0" fontId="27" fillId="3" borderId="1" xfId="0" applyFont="1" applyFill="1" applyBorder="1" applyAlignment="1">
      <alignment vertical="center"/>
    </xf>
    <xf numFmtId="0" fontId="27" fillId="3" borderId="1" xfId="0" applyFont="1" applyFill="1" applyBorder="1" applyAlignment="1">
      <alignment horizontal="center" vertical="center" wrapText="1"/>
    </xf>
    <xf numFmtId="0" fontId="27" fillId="3" borderId="1" xfId="0" applyFont="1" applyFill="1" applyBorder="1" applyAlignment="1">
      <alignment horizontal="center" vertical="center"/>
    </xf>
    <xf numFmtId="0" fontId="27" fillId="3" borderId="3" xfId="0" applyFont="1" applyFill="1" applyBorder="1" applyAlignment="1">
      <alignment horizontal="center" vertical="center"/>
    </xf>
    <xf numFmtId="0" fontId="9" fillId="0" borderId="1" xfId="0" applyFont="1" applyBorder="1" applyAlignment="1">
      <alignment vertical="center"/>
    </xf>
    <xf numFmtId="0" fontId="28" fillId="0" borderId="5" xfId="0" applyFont="1" applyBorder="1"/>
    <xf numFmtId="0" fontId="28" fillId="0" borderId="6" xfId="0" applyFont="1" applyBorder="1"/>
    <xf numFmtId="0" fontId="20" fillId="7" borderId="0" xfId="0" applyFont="1" applyFill="1" applyAlignment="1">
      <alignment vertical="top"/>
    </xf>
    <xf numFmtId="0" fontId="10" fillId="2" borderId="0" xfId="0" applyFont="1" applyFill="1" applyAlignment="1">
      <alignment vertical="top"/>
    </xf>
    <xf numFmtId="0" fontId="10" fillId="6" borderId="0" xfId="0" applyFont="1" applyFill="1" applyAlignment="1">
      <alignment vertical="top"/>
    </xf>
    <xf numFmtId="0" fontId="29" fillId="8" borderId="1" xfId="0" applyFont="1" applyFill="1" applyBorder="1" applyAlignment="1">
      <alignment horizontal="center" vertical="center" wrapText="1"/>
    </xf>
    <xf numFmtId="0" fontId="24" fillId="0" borderId="0" xfId="0" applyFont="1" applyAlignment="1">
      <alignment horizontal="center" vertical="center"/>
    </xf>
    <xf numFmtId="0" fontId="0" fillId="0" borderId="0" xfId="0" pivotButton="1"/>
    <xf numFmtId="164" fontId="25" fillId="8" borderId="1" xfId="0" applyNumberFormat="1" applyFont="1" applyFill="1" applyBorder="1" applyAlignment="1">
      <alignment horizontal="center" vertical="center"/>
    </xf>
    <xf numFmtId="164" fontId="24" fillId="0" borderId="1" xfId="0" applyNumberFormat="1" applyFont="1" applyBorder="1" applyAlignment="1">
      <alignment horizontal="center" vertical="center"/>
    </xf>
    <xf numFmtId="0" fontId="30" fillId="9" borderId="7" xfId="0" applyFont="1" applyFill="1" applyBorder="1" applyAlignment="1">
      <alignment wrapText="1"/>
    </xf>
    <xf numFmtId="0" fontId="30" fillId="9" borderId="8" xfId="0" applyFont="1" applyFill="1" applyBorder="1" applyAlignment="1">
      <alignment wrapText="1"/>
    </xf>
    <xf numFmtId="164" fontId="0" fillId="0" borderId="0" xfId="0" applyNumberFormat="1"/>
    <xf numFmtId="0" fontId="30" fillId="9" borderId="0" xfId="0" applyFont="1" applyFill="1" applyAlignment="1">
      <alignment wrapText="1"/>
    </xf>
    <xf numFmtId="164" fontId="0" fillId="0" borderId="0" xfId="0" applyNumberFormat="1" applyAlignment="1">
      <alignment horizontal="center" vertical="center"/>
    </xf>
    <xf numFmtId="164" fontId="31" fillId="10" borderId="0" xfId="0" applyNumberFormat="1" applyFont="1" applyFill="1" applyAlignment="1">
      <alignment horizontal="center" vertical="center"/>
    </xf>
    <xf numFmtId="0" fontId="31" fillId="10" borderId="0" xfId="0" applyFont="1" applyFill="1" applyAlignment="1">
      <alignment horizontal="center" vertical="center"/>
    </xf>
    <xf numFmtId="0" fontId="9" fillId="11" borderId="1" xfId="0" applyFont="1" applyFill="1" applyBorder="1" applyAlignment="1">
      <alignment vertical="center"/>
    </xf>
    <xf numFmtId="164" fontId="0" fillId="0" borderId="0" xfId="0" applyNumberFormat="1" applyAlignment="1">
      <alignment horizontal="left"/>
    </xf>
    <xf numFmtId="0" fontId="31" fillId="10" borderId="0" xfId="0" applyFont="1" applyFill="1" applyAlignment="1">
      <alignment horizontal="center"/>
    </xf>
    <xf numFmtId="164" fontId="0" fillId="0" borderId="0" xfId="0" applyNumberFormat="1" applyAlignment="1">
      <alignment horizontal="center"/>
    </xf>
    <xf numFmtId="0" fontId="0" fillId="0" borderId="0" xfId="0" applyAlignment="1">
      <alignment horizontal="center"/>
    </xf>
  </cellXfs>
  <cellStyles count="1">
    <cellStyle name="Normal" xfId="0" builtinId="0"/>
  </cellStyles>
  <dxfs count="6">
    <dxf>
      <numFmt numFmtId="164" formatCode="&quot;$&quot;#,##0"/>
    </dxf>
    <dxf>
      <numFmt numFmtId="164" formatCode="&quot;$&quot;#,##0"/>
    </dxf>
    <dxf>
      <numFmt numFmtId="164" formatCode="&quot;$&quot;#,##0"/>
    </dxf>
    <dxf>
      <numFmt numFmtId="164" formatCode="&quot;$&quot;#,##0"/>
    </dxf>
    <dxf>
      <numFmt numFmtId="164" formatCode="&quot;$&quot;#,##0"/>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ato Berenguela" refreshedDate="46133.715734027777" createdVersion="8" refreshedVersion="8" minRefreshableVersion="3" recordCount="45" xr:uid="{D3B64EC0-22D7-4863-BBE1-B8A5C235B277}">
  <cacheSource type="worksheet">
    <worksheetSource ref="A1:AG1048576" sheet="Iniciativas (2)"/>
  </cacheSource>
  <cacheFields count="32">
    <cacheField name="INI" numFmtId="0">
      <sharedItems containsBlank="1"/>
    </cacheField>
    <cacheField name="Iniciativa" numFmtId="0">
      <sharedItems containsBlank="1"/>
    </cacheField>
    <cacheField name="Descripción" numFmtId="0">
      <sharedItems containsBlank="1" longText="1"/>
    </cacheField>
    <cacheField name="Objetivos generales" numFmtId="0">
      <sharedItems containsBlank="1" longText="1"/>
    </cacheField>
    <cacheField name="Costo estimado en USD" numFmtId="164">
      <sharedItems containsString="0" containsBlank="1" containsNumber="1" minValue="4789.2376681614351" maxValue="242659.19282511211"/>
    </cacheField>
    <cacheField name="PILAR" numFmtId="0">
      <sharedItems containsBlank="1" count="4">
        <s v="Funcional/Negocio"/>
        <s v="Gobierno y Personas"/>
        <s v="Técnico"/>
        <m/>
      </sharedItems>
    </cacheField>
    <cacheField name="Tipo de cliente (flujo)" numFmtId="0">
      <sharedItems containsBlank="1" count="11">
        <s v="Cliente sin oferta aprobada"/>
        <s v="Cliente oferta aprobada express"/>
        <s v="Transversal (Express + Normal + Sin oferta)"/>
        <s v="Transversal (Express + Normal + Sin oferta + No ok)"/>
        <s v="Cliente no ok"/>
        <s v="Transversal (todos los flujos)"/>
        <s v="Cliente oferta aprobada normal"/>
        <s v="Cliente oferta aprobada normal + Cliente oferta aprobada express"/>
        <m/>
        <s v="Aprobado Express" u="1"/>
        <s v="No aprobado" u="1"/>
      </sharedItems>
    </cacheField>
    <cacheField name="Beneficios" numFmtId="0">
      <sharedItems containsBlank="1" longText="1"/>
    </cacheField>
    <cacheField name="Detalle actividades " numFmtId="0">
      <sharedItems containsBlank="1" longText="1"/>
    </cacheField>
    <cacheField name="Entregables" numFmtId="0">
      <sharedItems containsBlank="1" longText="1"/>
    </cacheField>
    <cacheField name="Prerrequisitos INI / ALT" numFmtId="0">
      <sharedItems containsBlank="1" longText="1"/>
    </cacheField>
    <cacheField name="Otros Prerrequisitos (no iniciativas)" numFmtId="0">
      <sharedItems containsBlank="1" longText="1"/>
    </cacheField>
    <cacheField name="Prerrequisitos ACTUALIZADOS (ANTIGUO)" numFmtId="0">
      <sharedItems containsBlank="1" longText="1"/>
    </cacheField>
    <cacheField name="Prerrequisitos y dependencia entre iniciativas (ANTIGUO)" numFmtId="0">
      <sharedItems containsBlank="1" longText="1"/>
    </cacheField>
    <cacheField name="Plan de trabajo" numFmtId="0">
      <sharedItems containsBlank="1"/>
    </cacheField>
    <cacheField name="Responsables" numFmtId="0">
      <sharedItems containsBlank="1" longText="1"/>
    </cacheField>
    <cacheField name="Categoría" numFmtId="0">
      <sharedItems containsBlank="1"/>
    </cacheField>
    <cacheField name="Etapa del flujo" numFmtId="0">
      <sharedItems containsBlank="1"/>
    </cacheField>
    <cacheField name="Dominio" numFmtId="0">
      <sharedItems containsBlank="1"/>
    </cacheField>
    <cacheField name="estado PWC" numFmtId="0">
      <sharedItems containsBlank="1"/>
    </cacheField>
    <cacheField name="Etapa TO-BE (Imagen)" numFmtId="0">
      <sharedItems containsBlank="1"/>
    </cacheField>
    <cacheField name="Etapa Simplificada" numFmtId="0">
      <sharedItems containsBlank="1"/>
    </cacheField>
    <cacheField name="Justificación Mapeo" numFmtId="0">
      <sharedItems containsBlank="1" longText="1"/>
    </cacheField>
    <cacheField name="Pilar Aplicativo Principal" numFmtId="0">
      <sharedItems containsBlank="1"/>
    </cacheField>
    <cacheField name="Pilar Aplicativo Secundario" numFmtId="0">
      <sharedItems containsBlank="1"/>
    </cacheField>
    <cacheField name="Grupo Tecnológico" numFmtId="0">
      <sharedItems containsBlank="1"/>
    </cacheField>
    <cacheField name="Capa de Arquitectura" numFmtId="0">
      <sharedItems containsBlank="1"/>
    </cacheField>
    <cacheField name="Plataforma / Infra" numFmtId="0">
      <sharedItems containsBlank="1"/>
    </cacheField>
    <cacheField name="Componentes Impactados" numFmtId="0">
      <sharedItems containsBlank="1"/>
    </cacheField>
    <cacheField name="Servicios EAI" numFmtId="0">
      <sharedItems containsBlank="1"/>
    </cacheField>
    <cacheField name="Notas Revisión Duplicidad" numFmtId="0">
      <sharedItems containsBlank="1" longText="1"/>
    </cacheField>
    <cacheField name="Estado Revisión"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5">
  <r>
    <s v="INI-01"/>
    <s v="Pre-evaluación FICO para Cliente Sin Oferta en Campaña"/>
    <s v="Nodo diferenciado de pre-evaluación con FICO para clientes sin oferta en campaña. Si FICO rechaza → Fin inmediato (ahorra recursos). Si aprueba → pasa a &quot;Nuevo servicio&quot; + Simulación."/>
    <s v="Implementar nodo diferenciado de pre-evaluación que filtre tempranamente clientes sin oferta → ahorra ~30-40% de evaluaciones innecesarias"/>
    <n v="155636.7713004484"/>
    <x v="0"/>
    <x v="0"/>
    <s v="B1: Ahorro de recursos (menos llamadas a servicios/motores posteriores y menos procesamiento) al cortar tempranamente los rechazados por FICO._x000a_B2: Mejor control de riesgo al aplicar un filtro estándar y consistente antes de ofertar dinámicamente._x000a_B3: Mejora la eficiencia del flujo al separar clientes “viables” vs “no viables” desde el inicio._x000a_B4: Mejor experiencia para no elegibles (respuesta rápida) y para elegibles (pasan a oferta + simulación sin pasos innecesarios)._x000a_B5: Trazabilidad de decisiones (motivos FICO y derivación a siguiente etapa) para monitoreo y auditoría."/>
    <s v="A1: Definir el segmento “cliente sin oferta” y condiciones de entrada al nodo (qué casos aplican y cuáles no)._x000a_A2: Definir reglas de decisión FICO (umbral(es), códigos de rechazo, vigencia, tratamiento de “sin score / error / data insuficiente”)._x000a_A3: Diseñar el flujo de orquestación: FICO → (rechazo y fin) / (aprobación y derivación a INI-02 + simulación)._x000a_A4: Implementar integración técnica con FICO (API, seguridad, timeouts, retries) + manejo de contingencias/fallback._x000a_A5: Implementar mensajería y motivos para canal (rechazo inmediato vs continúa) y registrar auditoría/logs._x000a_A6: Ejecutar pruebas y piloto (funcionales, performance, caída de servicios) y calibrar umbrales si corresponde."/>
    <s v="E1: Documento de alcance y requerimientos del nodo de pre-evaluación (incluye criterios “sin oferta”)._x000a_E2: Diseño del flujo (diagrama del nodo FICO + derivación a INI-02 + simulación)._x000a_E3: Política/parametría FICO: umbrales, tratamiento de excepciones (“no hit”, error, data incompleta) y motivos._x000a_E4: Catálogo de motivos/códigos para fin inmediato y para derivación (mensajes por canal)._x000a_E5: Especificación de integración/API con FICO (contratos, seguridad, timeouts, reintentos)._x000a_E6: Implementación del nodo en el orquestador/flujo (configuración por ambiente + feature flags si aplica)._x000a_E7: Plan y evidencias de pruebas (unitarias, integración, E2E con INI-02, performance/contingencia) + UAT firmado._x000a_E8: Monitoreo/KPIs (tasa de rechazo FICO, latencia, errores, derivación a INI-02, ahorro estimado de llamadas) + alertas._x000a_E9: Informe de piloto/despliegue con resultados y ajustes recomendados."/>
    <s v="INI-02, INI-04, INI-05, INI-07, INI-09, INI-12, INI-18, INI-20"/>
    <s v="accesos/conectividad a ambientes FICO, definición de umbrales/reglas y manejo de excepciones por Riesgo (no-hit/error/data insuficiente) y trazabilidad/auditoría"/>
    <s v="Requiere accesos/conectividad a ambientes FICO, definición de umbrales/reglas y manejo de excepciones por Riesgo (no-hit/error/data insuficiente) y trazabilidad/auditoría; depende de INI-12 y se integra con INI-05 (ruteo “Sin oferta”), INI-02 (si aprueba pasa a oferta dinámica), INI-07 (persistencia/retoma), INI-04 (doc antes de curse) y medición INI-09/INI-09 (ex INI-10)._x000a__x000a_🔗 DEPENDENCIAS CRUZADAS (Func↔Téc): INI-18 (FICO v7 estable para pre-evaluación); INI-29 (Gobierno E2E técnico); INI-20 (Precálculo oferta viable)."/>
    <s v="Requiere accesos/conectividad a ambientes FICO, definición de umbrales/reglas y manejo de excepciones por Riesgo (no-hit/error/data insuficiente) y trazabilidad/auditoría; depende de INI-12 y se integra con INI-05 (ruteo “Sin oferta”), INI-02 (si aprueba pasa a oferta dinámica), INI-07 (persistencia/retoma), INI-04 (doc antes de curse) y medición INI-09/INI-09 (ex INI-10)."/>
    <s v="PENDIENTE EN CASO DE PRIORIZACIÓN"/>
    <s v="Ger. Riesgo, Ger. Comercial/Producto, Proveedor FICO/Ventiv, TI Integración/Arquitectura, Sonda (infra/OCI-OKE), Canales (TAPP/SVP), Operaciones"/>
    <s v="Funcional"/>
    <s v="Generación de Oferta"/>
    <s v="🔴 Riesgo"/>
    <m/>
    <s v="Generación de Oferta"/>
    <s v="Generación de Oferta"/>
    <s v="Pre-evaluación FICO para cliente sin oferta → nodo antes de simulación"/>
    <s v="Motor FICO (DMPS/Blaze)"/>
    <s v="Base Aprobados, MenuAndes"/>
    <s v="Motor de Decisión"/>
    <s v="Lógica de Negocio"/>
    <s v="OCI Santiago → OCI/OKE"/>
    <s v="FICO DMPS, Blaze v4/v7, Orquestador Gateway"/>
    <s v="—"/>
    <m/>
    <s v="Sin cambios"/>
  </r>
  <r>
    <s v="INI-02"/>
    <s v="Nuevo Servicio de Generación de Oferta Dinámica - "/>
    <s v="Servicio post pre-evaluación que genera oferta dinámica para clientes sin oferta pre-aprobada. Hoy estos clientes van directo al motor o son rechazados."/>
    <s v="Diseñar, construir e implementar un servicio post pre-evaluación que genere una oferta dinámica para clientes que no cuentan con oferta pre-aprobada, de modo que en lugar de enviarlos directamente al motor o rechazarlos, se les presente una alternativa de oferta (monto/plazo/tasa/condiciones) acorde a su perfil de riesgo y políticas vigentes, mejorando conversión sin deteriorar el riesgo."/>
    <n v="104192.82511210762"/>
    <x v="0"/>
    <x v="0"/>
    <s v="B1: Aumenta la conversión/originación al capturar clientes que hoy quedan sin oferta o rechazados._x000a_B2: Mejora la experiencia del cliente al entregar alternativas en vez de un rechazo inmediato._x000a_B3: Permite gestionar apetito de riesgo con parámetros (límites, pricing, reglas) ajustables._x000a_B4: Reduce derivaciones y fricción operativa (menos re-trabajo y reintentos)._x000a_B5: Entrega trazabilidad y control (motivos, auditoría, versionado de reglas) para riesgo y compliance."/>
    <s v="A1: Levantar flujo actual y definir casos de uso para clientes sin pre-aprobación (ofertar / pedir datos / no ofertar)._x000a_A2: Definir políticas y reglas de elegibilidad + parámetros de oferta (monto/plazo/tasa/condiciones) y “motivos de no oferta”._x000a_A3: Diseñar el modelo de generación de oferta (segmentación por riesgo/score, matriz de oferta, 1 vs N ofertas)._x000a_A4: Diseñar e implementar el servicio/API e integraciones (pre-evaluación, datos internos/externos, pricing, motor si aplica) + auditoría._x000a_A5: Ejecutar pruebas y calibración (funcionales, integración, performance) con histórico/simulación y ajustes de parámetros._x000a_A6: Implementar piloto y despliegue gradual por canal/segmento, con monitoreo de KPIs y mejora continua."/>
    <s v="E1: Documento de requerimientos y alcance (funcional / no funcional)._x000a_E2: Diseño de proceso/journey objetivo (sin pre-aprobación → oferta dinámica → siguiente paso)._x000a_E3: Reglas de elegibilidad + matriz/estrategia de oferta (parámetros por segmento/score) y versionado._x000a_E4: Catálogo de motivos/códigos (no oferta, rechazo, derivación) y mensajes para canal._x000a_E5: Especificación de API (OpenAPI) + arquitectura e integraciones + lineamientos de auditoría/logging._x000a_E6: Implementación del servicio (código + configuración por ambiente / feature flags)._x000a_E7: Plan y evidencias de pruebas (unitarias, integración, E2E, performance) + UAT firmado._x000a_E8: Tablero de monitoreo (conversión, % con oferta, aceptación, latencia/errores, mora temprana si aplica) + alertas._x000a_E9: Informe de piloto/despliegue con resultados, ajustes y recomendación de escalamiento."/>
    <s v="INI-01, INI-04, INI-07, INI-09, INI-11, INI-12, INI-18, INI-20"/>
    <s v="definición de política/matriz de oferta dinámica (monto/plazo/tasa/condiciones), fuentes de datos y catálogo de motivos/auditoría; y normalmente de , se apalanca opcionalmente en , y se integra con ,  y medición"/>
    <s v="Requiere definición de política/matriz de oferta dinámica (monto/plazo/tasa/condiciones), fuentes de datos y catálogo de motivos/auditoría; depende de INI-12 y normalmente de INI-01 (gate pre-FICO en “Sin oferta”), se apalanca opcionalmente en INI-11 (parametrización de reglas), y se integra con INI-07, INI-04 y medición INI-09/INI-09 (ex INI-10)._x000a__x000a_🔗 DEPENDENCIAS CRUZADAS (Func↔Téc): INI-18 (FICO v7 para evaluación); INI-20 (Precálculo como base de oferta)."/>
    <s v="Requiere definición de política/matriz de oferta dinámica (monto/plazo/tasa/condiciones), fuentes de datos y catálogo de motivos/auditoría; depende de INI-12 y normalmente de INI-01 (gate pre-FICO en “Sin oferta”), se apalanca opcionalmente en INI-11 (parametrización de reglas), y se integra con INI-07, INI-04 y medición INI-09/INI-09 (ex INI-10)."/>
    <s v="PENDIENTE EN CASO DE PRIORIZACIÓN"/>
    <s v="Ger. Comercial/Producto, Ger. Riesgo (políticas/umbrales), TI Arquitectura/Integración, Proveedor FICO/Ventiv (si participa en decisión/scoring), Canales (TAPP/SVP/Sucursal), Data/BI (seguimiento)"/>
    <s v="Funcional"/>
    <s v="Generación de Oferta"/>
    <s v="🟢 Producto🔴 Riesgo"/>
    <m/>
    <s v="Generación de Oferta"/>
    <s v="Generación de Oferta"/>
    <s v="Oferta dinámica post pre-evaluación → genera oferta viable"/>
    <s v="Motor FICO (DMPS/Blaze)"/>
    <s v="FlexCube, MenuAndes"/>
    <s v="Motor de Decisión"/>
    <s v="Lógica de Negocio"/>
    <s v="GCP (nuevo servicio)"/>
    <s v="Nuevo Servicio Oferta Dinámica, FICO, FlexCube"/>
    <s v="—"/>
    <m/>
    <s v="Sin cambios"/>
  </r>
  <r>
    <s v="INI-03"/>
    <s v="Flujo aprobado express"/>
    <s v="Camino directo para &quot;Aprobados Express&quot;: Paquete oferta → Simulación → (sin evaluación FICO) → Documentación → Curse. Bypass del motor para clientes de buen comportamiento. (2 OPCIONES)"/>
    <s v="Implementar un camino “Fast Track Express” que permita a clientes identificados como Aprobados Express (por buen comportamiento y criterios definidos) avanzar desde paquete de oferta → simulación → documentación → curse, sin pasar por la evaluación FICO / motor tradicional, manteniendo controles mínimos de riesgo, fraude y cumplimiento para reducir tiempos y fricción sin deteriorar calidad de cartera._x000a_"/>
    <n v="109578.47533632287"/>
    <x v="0"/>
    <x v="1"/>
    <s v="B1: Aumenta la conversión al reducir pasos y fricción del proceso estándar._x000a_B2: Disminuye el time-to-yes / time-to-cash (aprobación y desembolso más rápidos)._x000a_B3: Reduce costo operativo (menos validaciones redundantes, menos re-trabajo)._x000a_B4: Mejora la experiencia y fidelización de clientes de buen comportamiento._x000a_B5: Mantiene control y trazabilidad (reglas claras, auditoría, límites y derivación a flujo estándar cuando aplique)."/>
    <s v="A1: Definir criterios “Aprobado Express” (elegibilidad, exclusiones, vigencia, límites por monto/plazo)._x000a_A2: Diseñar el flujo Fast Track y puntos de decisión (Express vs derivación a flujo estándar)._x000a_A3: Acordar e implementar controles mínimos (KYC/AML, identidad, antifraude, políticas internas) para permitir el bypass._x000a_A4: Definir e implementar paquete de oferta + simulación (condiciones, vigencia, validaciones de límites)._x000a_A5: Implementar servicios/APIs e integraciones (canales, data comportamiento, KYC/AML, documental, curse) + manejo de errores/fallback._x000a_A6: Ejecutar pruebas y piloto (UAT, performance, seguridad), monitoreo de KPIs y calibración de reglas."/>
    <s v="E1: Documento de política Express: criterios, exclusiones, vigencia, límites y gobierno de cambios._x000a_E2: Diseño del proceso Fast Track (diagrama de flujo + derivación a estándar + mensajes/motivos)._x000a_E3: Matriz de controles mínimos (riesgo/fraude/compliance) + “stop conditions”._x000a_E4: Definición del paquete de oferta y reglas de simulación (parámetros, vigencia, restricciones)._x000a_E5: Especificación técnica/API (OpenAPI) + arquitectura e integraciones._x000a_E6: Implementación (servicios, configuración de reglas, feature flags)._x000a_E7: Plan y evidencias de pruebas (unitarias, integración, E2E, performance, seguridad) + UAT firmado._x000a_E8: Tablero de monitoreo (KPIs operativos y de riesgo) + alertas._x000a_E9: Informe de piloto y versión final calibrada (recomendaciones y parámetros finales)."/>
    <s v="INI-04, INI-05, INI-07, INI-09, INI-11, INI-12, INI-34"/>
    <s v="criterios “Aprobado Express”, límites/exclusiones y controles mínimos KYC/AML/antifraude definidos por Riesgo/Compliance y trazabilidad; y de , se integra con  y , se mide con  y puede apalancarse en  para parametría"/>
    <s v="Requiere criterios “Aprobado Express”, límites/exclusiones y controles mínimos KYC/AML/antifraude definidos por Riesgo/Compliance y trazabilidad; depende de INI-12 y de INI-05 (clasificación Express), se integra con INI-04 (doc) y INI-07 (retoma), se mide con INI-09/INI-09 (ex INI-10) y puede apalancarse en INI-11 para parametría._x000a__x000a_🔗 DEPENDENCIAS CRUZADAS (Func↔Téc): INI-34 (BD Corporativa para datos de cliente express); INI-29 (Gobierno E2E)."/>
    <s v="Requiere criterios “Aprobado Express”, límites/exclusiones y controles mínimos KYC/AML/antifraude definidos por Riesgo/Compliance y trazabilidad; depende de INI-12 y de INI-05 (clasificación Express), se integra con INI-04 (doc) y INI-07 (retoma), se mide con INI-09/INI-09 (ex INI-10) y puede apalancarse en INI-11 para parametría."/>
    <s v="PENDIENTE EN CASO DE PRIORIZACIÓN"/>
    <s v="Ger. Riesgo, Ger. Comercial/Producto, Canales Digitales (TAPP/SVP), TI Arquitectura/Integración, Proveedor FICO/Ventiv (para definir bypass/control mínimo), Compliance/Seguridad"/>
    <s v="Funcional"/>
    <s v="Simulación → Curse"/>
    <s v="🔴 Riesgo🟡 Canal"/>
    <m/>
    <s v="Evaluación → Documentación (Bypass)"/>
    <s v="Evaluación (Bypass → Documentación)"/>
    <s v="Fast Track: Express salta Evaluación FICO, va directo Simulación → Documentación"/>
    <s v="Motor FICO (DMPS/Blaze)"/>
    <s v="Siebel, TAPP, Base Aprobados"/>
    <s v="Motor de Decisión"/>
    <s v="Lógica de Negocio + Canal"/>
    <s v="OCI + GCP"/>
    <s v="Blaze Advisor (bypass rules), Siebel, TAPP BFF"/>
    <s v="—"/>
    <m/>
    <s v="Sin cambios"/>
  </r>
  <r>
    <s v="INI-04"/>
    <s v="Orquestación Documentación Digital - "/>
    <s v="Etapa explícita de &quot;Generación, firma y Control doc.&quot; previa al curse. Hoy la documentación y firma están fuera del proceso de onboarding — el flujo la integra."/>
    <s v="Implementar e integrar en el onboarding una etapa explícita y orquestada de “Generación, firma y control documental” previa al curse, incorporando la documentación y firma digital dentro del flujo end-to-end para asegurar completitud, trazabilidad y cumplimiento, reduciendo fricción operativa y reprocesos."/>
    <n v="60430.493273542597"/>
    <x v="0"/>
    <x v="2"/>
    <s v="B1: Asegura cumplimiento y control: documentos correctos, firmados y validados antes del curse._x000a_B2: Reduce reprocesos y errores (documentación incompleta/faltante) al estandarizar la etapa._x000a_B3: Mejora tiempos de cierre/curse al automatizar generación, firma y verificación._x000a_B4: Entrega trazabilidad/auditoría end-to-end (qué se generó, quién firmó, cuándo, estado y evidencias)._x000a_B5: Habilita una experiencia digital y omnicanal consistente (mismo flujo para web/app/sucursal/call center, según aplique)."/>
    <s v="A1: Levantar el proceso actual y definir el alcance documental por producto/canal (qué documentos, cuándo aplican)._x000a_A2: Definir la orquestación de estados: generar → enviar → firmar → validar → almacenar → habilitar curse (y qué pasa si falla)._x000a_A3: Diseñar plantillas y parametría (variables, versiones, idioma, condiciones, anexos) y reglas de selección de documentos._x000a_A4: Integrar con servicios de firma digital y gestión documental (repositorio, evidencias, sellado de tiempo si aplica)._x000a_A5: Implementar controles: completitud, consistencia de datos, validación de identidad/consentimiento, reintentos y vencimientos._x000a_A6: Pruebas end-to-end + piloto: generación masiva, firma, trazabilidad, contingencias (firma caída / cliente no firma / expiración)."/>
    <s v="E1: Documento de alcance y catálogo documental (por producto/canal/segmento) + reglas de aplicabilidad._x000a_E2: Diseño del flujo de orquestación (estados, transiciones, errores, SLAs, reintentos, vencimientos)._x000a_E3: Modelo de datos documental (metadatos, versionado, evidencias, auditoría)._x000a_E4: Plantillas de documentos parametrizadas + matriz de selección (qué se genera en cada caso)._x000a_E5: Especificación de integraciones/APIs (firma digital, repositorio documental, onboarding/orquestador, curse)._x000a_E6: Implementación de la etapa documental (servicios, colas/eventos si aplica, configuración por ambiente)._x000a_E7: Catálogo de motivos/códigos de estado documental (pendiente firma, rechazado, expirado, validación fallida, etc.)._x000a_E8: Plan y evidencias de pruebas (funcionales, seguridad, performance, contingencias) + UAT firmado._x000a_E9: Tablero de monitoreo/KPIs (tasa de firma, tiempos por etapa, caídas, reprocesos, % curse habilitado) + alertas."/>
    <s v="INI-12, INI-21, INI-24"/>
    <s v="set documental por producto/canal, proveedor de firma digital, repositorio documental/evidencias y aprobaciones Legal/Compliance; y es transversal como paso previo a curse para rutas que cursan (Express/Normal/Sin oferta)"/>
    <s v="Requiere set documental por producto/canal, proveedor de firma digital, repositorio documental/evidencias y aprobaciones Legal/Compliance; depende de INI-12 y es transversal como paso previo a curse para rutas que cursan (Express/Normal/Sin oferta)._x000a__x000a_🔗 DEPENDENCIAS CRUZADAS (Func↔Téc): INI-24 (Camel orquestador para flujo documentación); INI-21 (MS Lógica Crédito reemplaza Svc 147)."/>
    <s v="Requiere set documental por producto/canal, proveedor de firma digital, repositorio documental/evidencias y aprobaciones Legal/Compliance; depende de INI-12 y es transversal como paso previo a curse para rutas que cursan (Express/Normal/Sin oferta)."/>
    <s v="PENDIENTE EN CASO DE PRIORIZACIÓN"/>
    <s v="Operaciones (BackOffice/Admisión), Legal/Compliance, Proveedor Firma Digital/ECM (si existe), TI Integración/Arquitectura, Canales (TAPP/SVP/Sucursal)"/>
    <s v="Funcional"/>
    <s v="Documentación"/>
    <s v="🟡 Canal"/>
    <m/>
    <s v="Documentación"/>
    <s v="Documentación"/>
    <s v="Orquestación de generación, firma y control documental"/>
    <s v="Siebel / Salesforce"/>
    <s v="FlexCube, eSign, BI Publisher"/>
    <s v="CRM + Documental"/>
    <s v="Proceso de Negocio"/>
    <s v="OCI Santiago"/>
    <s v="Siebel CRM, FlexCube, eSign, BI Publisher"/>
    <s v="—"/>
    <m/>
    <s v="Sin cambios"/>
  </r>
  <r>
    <s v="INI-05"/>
    <s v="Segmentación de Campaña No Cliente"/>
    <s v="Punto de decisión inteligente al inicio que clasifica: Express / Normal / Sin oferta / NO OK. Hoy Siebel lo hace parcialmente. En TO-BE debería ser un microservicio."/>
    <s v="Diseñar e implementar un microservicio de derivación al inicio del onboarding que clasifique inteligentemente a cada cliente en Express / Normal / Sin oferta / NO OK, sustituyendo o complementando la clasificación parcial actual de Siebel, para enrutar al flujo TO-BE correcto con consistencia, trazabilidad y control (incluyendo criterios de elegibilidad y exclusión)."/>
    <n v="71089.686098654711"/>
    <x v="0"/>
    <x v="3"/>
    <s v="B1: Reduce fricción y mejora conversión al enrutar correctamente desde el inicio (menos desvíos y re-trabajo)._x000a_B2: Aumenta la eficiencia operativa y tecnológica (menos lógica dispersa en canales/Siebel, menor complejidad)._x000a_B3: Mejora el control de riesgo/compliance con criterios centralizados (incluye “NO OK” temprano)._x000a_B4: Entrega consistencia omnicanal (misma clasificación para web/app/sucursal/call center)._x000a_B5: Habilita evolución rápida (reglas parametrizables, versionado, feature flags) sin cambios grandes en canales._x000a_B6: Provee trazabilidad/auditoría (por qué fue Express/Normal/Sin oferta/NO OK, con variables y reglas aplicadas)."/>
    <s v="A1: Definir la taxonomía y criterios de cada tipo: Express / Normal / Sin oferta / NO OK (reglas y exclusiones)._x000a_A2: Levantar la lógica actual en Siebel y diseñar el TO-BE (qué se migra, qué se elimina, qué queda temporalmente)._x000a_A3: Diseñar el microservicio: API, entradas/salidas, performance, seguridad, idempotencia y manejo de errores._x000a_A4: Definir e integrar fuentes de datos necesarias (CRM/Siebel, comportamiento, KYC/AML, antifraude, ofertas, etc.)._x000a_A5: Implementar motor de reglas parametrizable + versionado + auditoría (logs, motivos, rule-id)._x000a_A6: Pruebas + piloto: exactitud de clasificación, latencia, contingencias (data faltante/servicios caídos) y calibración."/>
    <s v="E1: Documento de alcance y criterios de clasificación (reglas por tipo, exclusiones, prioridades)._x000a_E2: Diseño TO-BE de enrutamiento (diagrama end-to-end: punto de decisión → flujos INI-01/02/03/04/normal)._x000a_E3: Contrato de API del microservicio (OpenAPI) + modelo de datos (request/response)._x000a_E4: Matriz de fuentes de datos e integraciones (qué se consulta, para qué, SLA/timeout)._x000a_E5: Catálogo de motivos/códigos de clasificación (Express/Normal/Sin oferta/NO OK) y mensajes por canal._x000a_E6: Implementación del microservicio (reglas parametrizables, versionado, feature flags)._x000a_E7: Plan y evidencias de pruebas (unitarias, integración, performance, resiliencia) + UAT firmado._x000a_E8: Tablero de monitoreo/KPIs (distribución por tipo, latencia, errores, derivaciones, precisión vs Siebel) + alertas._x000a_E9: Plan de migración desde Siebel (coexistencia, corte, rollback) + reporte de piloto/despliegue."/>
    <s v="INI-01, INI-02, INI-03, INI-09, INI-11, INI-12, INI-22"/>
    <s v="definición unívoca de tipología Express/Normal/Sin oferta/NO OK, señales de clasificación (incluyendo qué se consulta vía FICO y qué se toma de Siebel en presencial), API con performance y auditoría; se apalanca opcionalmente en , y habilita ruteo hacia  y hacia /; su efectividad se mide con"/>
    <s v="Requiere definición unívoca de tipología Express/Normal/Sin oferta/NO OK, señales de clasificación (incluyendo qué se consulta vía FICO y qué se toma de Siebel en presencial), API con performance y auditoría; depende de INI-12, se apalanca opcionalmente en INI-11, y habilita ruteo hacia INI-03 y hacia INI-01/INI-02; su efectividad se mide con INI-09/INI-09 (ex INI-10)._x000a__x000a_🔗 DEPENDENCIAS CRUZADAS (Func↔Téc): INI-22 (Apigee para convergencia canales); INI-29 (Gobierno E2E)."/>
    <s v="Requiere definición unívoca de tipología Express/Normal/Sin oferta/NO OK, señales de clasificación (incluyendo qué se consulta vía FICO y qué se toma de Siebel en presencial), API con performance y auditoría; depende de INI-12, se apalanca opcionalmente en INI-11, y habilita ruteo hacia INI-03 y hacia INI-01/INI-02; su efectividad se mide con INI-09/INI-09 (ex INI-10)."/>
    <s v="PENDIENTE EN CASO DE PRIORIZACIÓN"/>
    <s v="TI Arquitectura/Integración (owner técnico), Ger. Riesgo (reglas de clasificación), Ger. Comercial/Producto, Canales (TAPP/SVP), Equipo Siebel (Sucursal Presencial), Proveedor FICO/Ventiv (si es fuente de señales)"/>
    <s v="Funcional"/>
    <s v="Punto de Entrada"/>
    <s v="🟣 Cliente🔴 Riesgo"/>
    <m/>
    <s v="Punto de Entrada"/>
    <s v="Punto de Entrada"/>
    <s v="Segmentación campaña No Cliente → define tipo de cliente antes del flujo"/>
    <s v="Siebel / Salesforce"/>
    <s v="TAPP, Base Aprobados"/>
    <s v="CRM + Canal"/>
    <s v="Lógica de Negocio"/>
    <s v="OCI + GCP"/>
    <s v="Siebel (segmentación), TAPP, Base Aprobados"/>
    <s v="—"/>
    <m/>
    <s v="Sin cambios"/>
  </r>
  <r>
    <s v="INI-06"/>
    <s v="Ajuste del Proceso de Derivación de Canales"/>
    <s v="TAPP opera con modelo binario: aprueba o rechaza. 277.407 solicitudes/mes que en sucursal podrían haberse trabajado se pierden porque el digital no puede derivar a analista."/>
    <s v="Habilitar en el canal digital un mecanismo de derivación a gestión humana (analista/sucursal/contact center) para solicitudes que hoy quedan en un modelo binario (aprueba/rechaza), permitiendo rescatar oportunidades y trabajar casos “recuperables” mediante un handoff orquestado, con colas, SLA, trazabilidad y retroalimentación al flujo digital."/>
    <n v="62013.452914798196"/>
    <x v="0"/>
    <x v="4"/>
    <s v="B1: Recupera solicitudes perdidas en digital al habilitar tratamiento humano (ej. parte de las 277.407 solicitudes/mes)._x000a_B2: Incrementa conversión/originación al re-trabajar casos no aprobados automáticamente pero potencialmente viables._x000a_B3: Mejora la experiencia del cliente (no termina en rechazo definitivo; se ofrece alternativa/seguimiento)._x000a_B4: Reduce abandono al dar continuidad (“te contactaremos / agenda / derivación a sucursal”)._x000a_B5: Aumenta control y trazabilidad (motivos de derivación, tiempos, resultado, auditoría)._x000a_B6: Permite optimizar reglas del motor digital con aprendizaje (insights sobre qué casos se recuperan)."/>
    <s v="A1: Definir casos de derivación y criterios (qué se deriva vs qué se rechaza definitivo; motivos y priorización)._x000a_A2: Diseñar el modelo operativo: quién atiende (analista/call center/sucursal), colas, SLA, horarios, capacidad y escalamiento._x000a_A3: Diseñar el handoff digital: captura mínima de datos, consentimiento, agendamiento/contactabilidad, estado visible al cliente._x000a_A4: Implementar la gestión de casos (creación de caso/ticket/lead en CRM o herramienta), asignación y trazabilidad end-to-end._x000a_A5: Integrar notificaciones y estados: actualizaciones al canal digital (en revisión, solicitado documento, aprobado, rechazado)._x000a_A6: Piloto y calibración: medir recuperación, tiempos y causas; ajustar reglas de derivación y dotación."/>
    <s v="E1: Documento de alcance y reglas de derivación (criterios, exclusiones, motivos/códigos, priorización)._x000a_E2: Diseño del proceso operativo (colas, SLA, roles, RACI, capacidad, escalamiento)._x000a_E3: Journey/UX del cliente en digital para derivación (mensajes, consentimiento, agendamiento, tracking de estado)._x000a_E4: Modelo de caso y datos mínimos (campos, adjuntos, estados, trazabilidad, auditoría)._x000a_E5: Especificación de integraciones/APIs (digital ↔ CRM/case management ↔ notificaciones ↔ repositorios si aplica)._x000a_E6: Implementación de creación/asignación de casos + bandeja/cola para analistas (o configuración si es herramienta existente)._x000a_E7: Catálogo de estados y motivos (derivado, pendiente contacto, requiere docs, aprobado, rechazado) + plantillas de comunicación._x000a_E8: Plan y evidencias de pruebas (E2E, SLA, seguridad/PII, contingencias) + UAT firmado._x000a_E9: Tablero de KPIs (tasa de derivación, tasa de recuperación, TAT, contactabilidad, conversión, causas) + reporte de piloto."/>
    <s v="INI-07, INI-09, INI-12, INI-13, INI-22, INI-27"/>
    <s v="modelo operativo de atención humana (roles, colas, SLA, capacidad), herramienta de casos (posiblemente Siebel u otra) y consentimientos/contactabilidad; se apalanca en , se mide con  (reconversión) y funciona como fallback junto con"/>
    <s v="Requiere modelo operativo de atención humana (roles, colas, SLA, capacidad), herramienta de casos (posiblemente Siebel u otra) y consentimientos/contactabilidad; depende de INI-12, se apalanca en INI-07 (handoff con contexto/retoma), se mide con INI-09 (ex INI-10) (reconversión) y funciona como fallback junto con INI-13._x000a__x000a_🔗 DEPENDENCIAS CRUZADAS (Func↔Téc): INI-22 (Apigee para derivación entre canales); INI-27 (Observabilidad para medir reconversión)."/>
    <s v="Requiere modelo operativo de atención humana (roles, colas, SLA, capacidad), herramienta de casos (posiblemente Siebel u otra) y consentimientos/contactabilidad; depende de INI-12, se apalanca en INI-07 (handoff con contexto/retoma), se mide con INI-09 (ex INI-10) (reconversión) y funciona como fallback junto con INI-13."/>
    <s v="PENDIENTE EN CASO DE PRIORIZACIÓN"/>
    <s v="Operaciones/Admisión (dueño del proceso y SLAs), Canales Digitales (TAPP/SVP), Ger. Sucursal Presencial (si recibe derivaciones), Equipo Siebel/CRM, Ger. Comercial, Data/BI (medición de recuperación)"/>
    <s v="Funcional"/>
    <s v="FG-19"/>
    <s v="🟡 Canal📊 Negocio"/>
    <m/>
    <s v="Evaluación → Simulación (Derivación)"/>
    <s v="Simulación + Evaluación"/>
    <s v="FG-19: Derivación a atención humana cuando TAPP rechaza. Aplica en decisión post-evaluación"/>
    <s v="TAPP (Canal Digital)"/>
    <s v="Siebel, BFF, Kafka"/>
    <s v="Canal Digital"/>
    <s v="Canal + Proceso"/>
    <s v="GCP (GKE)"/>
    <s v="TAPP, BFF, Kafka, Siebel (derivación)"/>
    <s v="—"/>
    <m/>
    <s v="Sin cambios"/>
  </r>
  <r>
    <s v="INI-07"/>
    <s v="Retomabilidad Omnicanal (Persistencia de Estado) - "/>
    <s v="Un cliente que inicia en digital y no completa, hoy reinicia desde cero en sucursal. El flujo requiere que el estado se persista entre Simulación y Evaluación para retomar en otro canal._x000a__x000a_[PASO 1 — Base Técnica Compartida] Esta iniciativa construye la capa de persistencia de estado que es PRERREQUISITO para INI-15 (Session Recovery ante caída) e INI-16 (Notificación post-caída). El servicio de persistencia que aquí se desarrolla es reutilizado por ambas iniciativas dependientes."/>
    <s v="Implementar persistencia de estado y retomabilidad omnicanal para que un cliente que inicia el onboarding en un canal (p. ej. digital) y no completa, pueda retomar el proceso en otro canal (p. ej. sucursal) sin reiniciar desde cero, persistiendo especialmente el estado y datos clave entre Simulación y Evaluación (y, idealmente, hasta Documentación), con trazabilidad, vigencia y controles de seguridad/consentimiento."/>
    <n v="78654.708520179367"/>
    <x v="0"/>
    <x v="2"/>
    <s v="B1: Incrementa conversión al reducir abandono por tener que reiniciar el flujo en otro canal._x000a_B2: Mejora la experiencia omnicanal (continuidad y consistencia de la solicitud)._x000a_B3: Reduce tiempos y fricción en sucursal/call center (menos captura repetida)._x000a_B4: Disminuye errores de data por reingreso manual y mejora calidad de información._x000a_B5: Aporta trazabilidad del journey (qué se hizo, dónde se quedó, qué falta)._x000a_B6: Habilita analítica de funnel real omnicanal (abandono, retomabilidad, cuellos de botella)."/>
    <s v="A1: Definir el alcance de estado a persistir (datos mínimos, decisiones, oferta simulada, documentos pendientes) y en qué hitos (Simulación/Evaluación/Doc)._x000a_A2: Definir identificador de continuidad (ID solicitud) y reglas de vinculación cliente-solicitud (login, OTP, documento, etc.)._x000a_A3: Diseñar la arquitectura de persistencia (store de estado, modelo de datos, APIs de lectura/escritura, versionado)._x000a_A4: Definir vigencias y caducidades (TTL de simulación/oferta, refresh de datos, re-evaluación si expira)._x000a_A5: Integrar canales y backends para guardar/recuperar estado (digital, sucursal, CRM/Siebel, orquestador, motor/FICO si aplica)._x000a_A6: Pruebas end-to-end omnicanal + piloto (casos de retoma, expiración, concurrencia, seguridad)."/>
    <s v="E1: Documento de alcance funcional de retomabilidad (hitos, casos de uso, qué se persiste y qué no)._x000a_E2: Modelo de datos de estado (campos, estructura, versionado, evidencias y auditoría)._x000a_E3: Definición de ID de solicitud y reglas de reconciliación (cómo se “encuentra” la solicitud en otro canal)._x000a_E4: Especificación de APIs de persistencia/retoma (crear, actualizar, consultar, reanudar, cerrar/cancelar)._x000a_E5: Política de vigencia/expiración (TTL, revalidaciones, cuándo se fuerza nueva evaluación)._x000a_E6: Implementación del servicio/store de estado + integraciones con canales y orquestador._x000a_E7: Journey omnicanal (mensajes al cliente y al ejecutivo: “solicitud en curso”, “pendiente”, “expirada”)._x000a_E8: Plan y evidencias de pruebas (E2E omnicanal, concurrencia, seguridad/PII, contingencias) + UAT firmado._x000a_E9: Monitoreo/KPIs (tasa de retoma, conversión post-retoma, abandono por etapa, tiempos entre canales) + reporte de piloto."/>
    <s v="INI-06, INI-09, INI-12, INI-13, INI-15, INI-25, INI-34"/>
    <s v="ID único de solicitud, store de estado seguro (PII), TTL/vigencias y definición de qué se persiste entre Simulación↔Evaluación para TAPP/SVP/Presencial (Siebel); habilita  (reconversión), potencia , se complementa con  y soporta continuidad en"/>
    <s v="Requiere ID único de solicitud, store de estado seguro (PII), TTL/vigencias y definición de qué se persiste entre Simulación↔Evaluación para TAPP/SVP/Presencial (Siebel); depende de INI-12, habilita INI-09 (ex INI-10) (reconversión), potencia INI-06 (derivación con contexto), se complementa con INI-15 (recovery fino) y soporta continuidad en INI-13._x000a__x000a_🔗 DEPENDENCIAS CRUZADAS (Func↔Téc): INI-25 (Redis caché para persistir estado); INI-34 (BD Corporativa para datos unificados)."/>
    <s v="Requiere ID único de solicitud, store de estado seguro (PII), TTL/vigencias y definición de qué se persiste entre Simulación↔Evaluación para TAPP/SVP/Presencial (Siebel); depende de INI-12, habilita INI-09 (ex INI-10) (reconversión), potencia INI-06 (derivación con contexto), se complementa con INI-15 (recovery fino) y soporta continuidad en INI-13."/>
    <s v="PENDIENTE EN CASO DE PRIORIZACIÓN"/>
    <s v="TI Arquitectura/Integración (owner), Canales (TAPP/SVP), Ger. Sucursal Presencial + Equipo Siebel, Seguridad/Ciber (PII/controles), Operaciones, Data/BI"/>
    <s v="Funcional"/>
    <s v="FG-19 FG-36"/>
    <s v="🟡 Canal🟣 Cliente"/>
    <m/>
    <s v="Simulación → Evaluación (Transversal)"/>
    <s v="Simulación + Evaluación"/>
    <s v="FG-19/FG-36: Persistencia de estado entre Simulación y Evaluación para retomar en otro canal"/>
    <s v="TAPP (Canal Digital)"/>
    <s v="Siebel, Redis (caché estado)"/>
    <s v="Canal Digital + Integración"/>
    <s v="Canal + Datos"/>
    <s v="GCP + OCI"/>
    <s v="TAPP, Siebel, Redis, MS Estado (nuevo)"/>
    <s v="—"/>
    <s v="🟡 PASO 1: Construye la capa base de persistencia de estado. Prerrequisito de INI-15 e INI-16."/>
    <s v="Paso 1 declarado"/>
  </r>
  <r>
    <s v="INI-09"/>
    <s v="Seguimiento y Trazabilidad de Data para Información de Negocio"/>
    <s v="El flujo tiene 5 etapas claras, pero hoy no existen métricas de funnel ni instrumentación para medir abandono, reconversión o conversión por etapa/canal. De 565.297 pre-evaluaciones solo 28.280 se convierten en ventas (5%). No se sabe cuántos clientes abandonan en cada nodo digital ni si retoman en sucursal. Esta iniciativa unifica el seguimiento de data E2E (funnel de conversión + trazabilidad de abandono + reconversión omnicanal) en una sola macro-iniciativa, habilitando la información de negocio necesaria para tomar decisiones basadas en datos."/>
    <s v="Diseñar e implementar una plataforma de seguimiento y trazabilidad de data end-to-end que: (1) mida la conversión por etapa del flujo (5 etapas) y por canal (TAPP, SVP, Sucursal Presencial); (2) instrumente el abandono en cada nodo del flujo digital y la reconversión/retoma en Sucursal Presencial; (3) identifique el impacto del 'No' en Simulación y Evaluación (rechazo vs abandono vs caída técnica); (4) habilite visibilidad, gestión del desempeño y acciones de recuperación basadas en datos, mejorando la conversión actual (565.297 pre-evaluaciones → 28.280 ventas = 5%) y la información disponible para negocio."/>
    <n v="131116.59192825112"/>
    <x v="0"/>
    <x v="5"/>
    <s v="B1: Visibilidad de dónde se cae la conversión (por etapa, canal, producto y motivo)._x000a_B2: Cuantifica el abandono real por nodo digital (dónde se pierden clientes y en qué magnitud)._x000a_B3: Mide la reconversión omnicanal: cuántos abandonan digital y terminan vendiendo en sucursal (atribución)._x000a_B4: Permite entender el impacto del 'No' en Simulación/Evaluación (rechazo vs abandono vs derivación)._x000a_B5: Permite priorizar iniciativas con impacto real (optimización basada en datos, no percepciones)._x000a_B6: Habilita acciones de recuperación (contacto, derivación, recordatorios, ofertas alternativas) basadas en triggers._x000a_B7: Mejora la gestión operativa con alertas y seguimiento de SLAs (tiempos por etapa, colas, caídas técnicas)._x000a_B8: Habilita comparabilidad omnicanal (TAPP vs SVP vs Presencial) y detección de brechas de experiencia._x000a_B9: Reduce 'caja negra' de decisiones al incorporar motivos/códigos estandarizados._x000a_B10: Soporta gobierno y mejora continua (A/B tests, calibración de reglas, seguimiento post-cambios)."/>
    <s v="A1: Definir el modelo de funnel: etapas estándar, eventos de entrada/salida y transiciones obligatorias (incluye abandonos y rechazos)._x000a_A2: Definir diccionario de métricas y KPIs (conversión etapa-etapa, tasa de caída, TAT por etapa, tasa de error, % derivación, abandono por nodo)._x000a_A3: Acordar el identificador único de solicitud y reglas para deduplicación/omnichannel (una solicitud que migra de canal)._x000a_A4: Definir qué es 'abandono' por nodo digital (timeout, cierre app, drop-off, 'No', error) y el modelo de eventos (start/finish/decision/error) + motivos/códigos._x000a_A5: Instrumentar eventos en sistemas/canales (TAPP, SVP, Presencial/orquestador, FICO, documental, curse) con códigos de estado/motivo._x000a_A6: Integrar con datos de Sucursal Presencial para detectar retoma/venta posterior y construir atribución omnicanal._x000a_A7: Implementar pipeline de datos (ingesta, calidad, reconciliación, dimensiones: canal/etapa/producto/segmento) y almacenamiento._x000a_A8: Construir dashboards y alertas (funnel de conversión + abandono por nodo + reconversión); ejecutar piloto de medición, ajustar definiciones y cerrar gobierno de datos."/>
    <s v="E1: Definición del funnel TO-BE (5 etapas) con mapa de eventos y transiciones por canal._x000a_E2: Definición de abandono por nodo (criterios, ventanas de tiempo, reglas de conteo) y mapa de nodos digitales._x000a_E3: Diccionario de métricas/KPIs unificado (funnel + abandono + reconversión: fórmulas, ventanas, segmentaciones, ownership)._x000a_E4: Definición del ID único de solicitud + reglas de deduplicación y continuidad omnicanal (TAPP/SVP/Presencial)._x000a_E5: Catálogo estandarizado de estados y motivos por etapa (aprobado/rechazado/abandono/error/pendiente) para analítica._x000a_E6: Especificación de tracking/instrumentación (event schema, payload mínimo, fuentes, frecuencia, validaciones de calidad)._x000a_E7: Implementación del pipeline de datos (ingesta → validación → modelo analítico → dataset de funnel + abandono + reconversión)._x000a_E8: Dashboards integrados: conversión por etapa/canal, abandono por nodo, reconversión a sucursal, cohortes, tendencias + alertas operativas._x000a_E9: Validación de datos (reconciliación vs sistemas fuente, completitud, latencia, consistencia) + evidencias de prueba._x000a_E10: Reporte baseline (situación actual: 565.297 → 28.280 + niveles de abandono) y playbook de acciones de recuperación._x000a_E11: Plan de seguimiento post-mejoras (gobierno, cadencia, triggers para derivar/contactar)."/>
    <s v="INI-07, INI-08, INI-12, INI-26, INI-27, INI-28"/>
    <s v="definición oficial de las 5 etapas y eventos, instrumentación de TAPP/SVP, data platform/pipeline, estándar de IDs para unir TAPP/SVP/Siebel, definición de abandono y catálogo de motivos (especialmente 'No' en sim/eval), y mecanismo de match con sucursal para reconversión; se apalanca en  y es base de análisis para . Absorbe el alcance completo de la anterior"/>
    <s v="Requiere definición oficial de las 5 etapas y eventos, instrumentación de TAPP/SVP, data platform/pipeline, estándar de IDs para unir TAPP/SVP/Siebel, definición de abandono y catálogo de motivos (especialmente 'No' en sim/eval), y mecanismo de match con sucursal para reconversión; depende de INI-12 (gobierno), se apalanca en INI-07 (omnicanalidad/retoma) y es base de análisis para INI-08. Absorbe el alcance completo de la anterior INI-09 (ex INI-10)._x000a__x000a_🔗 DEPENDENCIAS CRUZADAS (Func↔Téc): INI-26 (BigQuery para analytics); INI-27 (Observabilidad base); INI-28 (Trazabilidad E2E)."/>
    <s v="Requiere definición oficial de las 5 etapas y eventos, instrumentación de TAPP/SVP, data platform/pipeline, estándar de IDs para unir TAPP/SVP/Siebel, definición de abandono y catálogo de motivos (especialmente 'No' en sim/eval), y mecanismo de match con sucursal para reconversión; depende de INI-12 (gobierno), se apalanca en INI-07 (omnicanalidad/retoma) y es base de análisis para INI-08. Absorbe el alcance completo de la anterior INI-09 (ex INI-10)."/>
    <s v="PENDIENTE EN CASO DE PRIORIZACIÓN"/>
    <s v="Data/BI / Analytics (owner), TI Data/Plataforma, Canales Digitales (TAPP/SVP), Ger. Sucursal Presencial + Equipo Siebel (match reconversión), TI Integración (eventos/IDs), Operaciones, Ger. Comercial, Ger. Riesgo (para motivos/estados)"/>
    <s v="Funcional"/>
    <s v="FG-19 FG-31"/>
    <s v="📊 Negocio"/>
    <m/>
    <s v="Transversal (todo el flujo)"/>
    <s v="Transversal"/>
    <s v="FG-19/FG-31: Trazabilidad de funnel E2E, mide abandono por etapa"/>
    <s v="BigQuery / GCP Analytics"/>
    <s v="TAPP, Siebel, FICO"/>
    <s v="Datos y Analítica"/>
    <s v="Datos / BI"/>
    <s v="GCP"/>
    <s v="BigQuery, Looker/DataStudio, Dashboards"/>
    <s v="—"/>
    <m/>
    <s v="Sin cambios"/>
  </r>
  <r>
    <s v="INI-11"/>
    <s v="Desacople Lógica de Negocio del Motor + Gobierno de Reglas"/>
    <s v="Reglas de knockout y scoring están embebidas en FICO sin interfaz de negocio. Cambiar una regla toma semanas vía TI. Se necesita capa de parametrización donde Riesgo gestione reglas autónomamente._x000a__x000a_[Ampliación — Gobierno de Reglas] Definir el modelo de gobierno para la gestión de reglas desacopladas: responsables por tipo de regla (knockout, scoring, oferta), protocolo de solicitud/aprobación/despliegue de cambios, flujo de autorización (quién solicita, quién valida impacto, quién aprueba, quién ejecuta), ventanas de cambio permitidas, y trazabilidad de cada modificación con auditoría."/>
    <s v="Implementar una capa de parametrización/gestión de reglas (interfaz de negocio) que desacople las reglas de knockout y scoring hoy embebidas en FICO/motor técnico, permitiendo que Riesgo administre y publique cambios de reglas de forma autónoma, controlada y auditable, reduciendo el time-to-change de semanas a ciclos cortos sin depender de TI para cada ajuste."/>
    <n v="93206.278026905828"/>
    <x v="0"/>
    <x v="2"/>
    <s v="B1: Reduce drásticamente el tiempo de cambio de reglas (de semanas a días/horas según gobernanza)._x000a_B2: Aumenta la agilidad del negocio para ajustar apetito de riesgo, pricing y campañas._x000a_B3: Mejora la gobernanza y auditoría (versionado, aprobaciones, trazabilidad de qué regla aplicó)._x000a_B4: Disminuye riesgo operativo por cambios “hardcodeados” y despliegues frecuentes de TI._x000a_B5: Habilita pruebas y simulación de cambios (impacto antes de publicar) y rollback seguro._x000a_B6: Facilita consistencia omnicanal al centralizar reglas consumidas por los flujos (INI-01/02/03/05/08)."/>
    <s v="A1: Levantar reglas actuales en FICO/motor (knockouts, thresholds, segmentos) y definir qué se externaliza a la capa de reglas._x000a_A2: Definir el modelo de reglas (tipos de regla, prioridad, condiciones, acciones, motivos/códigos) y requerimientos no funcionales (latencia, disponibilidad)._x000a_A3: Diseñar la interfaz de negocio: edición, validaciones, workflow de aprobación, versionado, comentarios, publicación por ambiente._x000a_A4: Diseñar el runtime: cómo el motor técnico consume reglas (API/config), caching, idempotencia, y compatibilidad con FICO._x000a_A5: Implementar simulador/sandbox y controles de despliegue (feature flags, canary, rollback)._x000a_A6: Piloto: migrar un set acotado de reglas, medir tiempos de cambio, errores, performance y ajustar gobernanza._x000a_A7: Definir modelo de gobierno de reglas: asignar responsables por tipo de regla (knockout → Ger. Riesgo, scoring → Ger. Riesgo, oferta → Ger. Producto), definir protocolo de solicitud/aprobación/despliegue de cambios, ventanas de cambio permitidas y mecanismo de auditoría y trazabilidad de cada modificación."/>
    <s v="E1: Inventario de reglas actuales + decisión de externalización (qué queda en FICO vs qué pasa a capa negocio)._x000a_E2: Modelo de reglas y estándar de motivos/códigos (estructura, prioridades, condiciones/acciones)._x000a_E3: Diseño e implementación de la Interfaz de Reglas (UI) con workflow (creación, revisión, aprobación, publicación)._x000a_E4: API/Contrato para consumo de reglas por el motor/orquestador (OpenAPI) + estrategia de caching y resiliencia._x000a_E5: Versionado y auditoría: trazas por decisión (rule-id, versión, variables usadas), bitácora de cambios y permisos._x000a_E6: Sandbox/Simulador de impacto (pruebas con histórico, comparativo antes/después, reportes)._x000a_E7: Implementación de controles de despliegue (feature flags, canary, rollback) y guía operativa._x000a_E8: Plan y evidencias de pruebas (funcionales, seguridad, performance, regresión) + UAT con Riesgo._x000a_E9: Gobierno/RACI y manual de operación (roles, permisos, cadencia de cambios, checklist de publicación)."/>
    <s v="INI-01, INI-12, INI-13, INI-18, INI-23, INI-33"/>
    <s v="seleccionar solución de reglas (BRMS/DMN o capa propia), IAM/roles, workflow de aprobación, versionado/auditoría/rollback y sandbox de simulación; y habilita agilidad/parametría para /02/03/05/08 y potencialmente umbrales/validaciones de"/>
    <s v="Requiere seleccionar solución de reglas (BRMS/DMN o capa propia), IAM/roles, workflow de aprobación, versionado/auditoría/rollback y sandbox de simulación; depende de INI-12 y habilita agilidad/parametría para INI-01/02/03/05/08 y potencialmente umbrales/validaciones de INI-13 (ex INI-17)._x000a__x000a_🔗 DEPENDENCIAS CRUZADAS (Func↔Téc): INI-18 (FICO v7 para desacoplar); INI-33 (Parametrización reglas + IA); INI-23 (Jobs separados)."/>
    <s v="Requiere seleccionar solución de reglas (BRMS/DMN o capa propia), IAM/roles, workflow de aprobación, versionado/auditoría/rollback y sandbox de simulación; depende de INI-12 y habilita agilidad/parametría para INI-01/02/03/05/08 y potencialmente umbrales/validaciones de INI-13 (ex INI-17)."/>
    <s v="PENDIENTE EN CASO DE PRIORIZACIÓN"/>
    <s v="Ger. Riesgo (owner funcional de reglas), TI Arquitectura/Integración (owner técnico), Proveedor FICO/Ventiv, Seguridad/Ciber (roles/auditoría), Compliance, Data/BI (simulación/impacto)"/>
    <s v="Funcional"/>
    <s v="FG-29 FG-33"/>
    <s v="🔴 Riesgo📊 Negocio"/>
    <m/>
    <s v="Evaluación"/>
    <s v="Evaluación"/>
    <s v="FG-29/FG-33: Desacople reglas del motor FICO → interfaz parametrización"/>
    <s v="Motor FICO (DMPS/Blaze)"/>
    <s v="Blaze Advisor, OSB"/>
    <s v="Motor de Decisión"/>
    <s v="Lógica de Negocio"/>
    <s v="OCI Santiago / OKE"/>
    <s v="Blaze Advisor v7 (120+ reglas), DMPS"/>
    <s v="—"/>
    <s v="✅ AMPLIADA: Se agrega gobierno de reglas (responsables, protocolo cambios, flujo autorización, auditoría). Prerrequisito de INI-33."/>
    <s v="Ampliada"/>
  </r>
  <r>
    <s v="INI-12"/>
    <s v="Gobierno Integral E2E del Proceso de Crédito (Blueprint + Owner + RACI + Cadencias)"/>
    <s v="[Componente Funcional — ex INI-12] El flujo To-Be propuesto es el blueprint, pero hoy cada área tiene comprensión parcial y distinta del proceso. Se debe documentar, socializar y mantener como activo vivo con ownership asignado._x000a__x000a_[Componente Técnico-Operativo — ex INI-29] Designación de owner E2E del proceso de otorgamiento de crédito. Matriz RACI por componente y gerencia. Cadencias formales: daily operativo, semanal táctica, quincenal estratégica. Gobierno incremental en cada TO-BE."/>
    <s v="Documentar, socializar y establecer gobierno del Blueprint E2E del flujo de admisión (TO-BE) como un activo vivo, asegurando una comprensión única y alineada entre áreas (Negocio, Riesgo, TI, Operaciones y Canales: TAPP, SVP, Sucursal Presencial), con ownership, versionado y mecanismo de actualización continua."/>
    <n v="58565.022421524656"/>
    <x v="1"/>
    <x v="5"/>
    <s v="B1: Alineamiento transversal: reduce interpretaciones distintas del proceso y evita retrabajo._x000a_B2: Mejora la ejecución de iniciativas (INI-01 a INI-11) al tener una referencia única de flujo, decisiones y dependencias._x000a_B3: Facilita gestión del cambio: comunicación y capacitación más rápida y consistente por canal/área._x000a_B4: Reduce riesgos operativos y de compliance al clarificar controles, responsables y evidencias por etapa._x000a_B5: Habilita mejora continua con versionado: se puede comparar “as-is vs to-be” y medir impacto por release."/>
    <s v="A1: Consolidar el flujo TO-BE en un modelo único (E2E) con etapas, decisiones, variantes por tipo de cliente/canal._x000a_A2: Documentar RACI/ownership por etapa (quién define, ejecuta, aprueba cambios; puntos de control)._x000a_A3: Definir estándares de documentación: BPMN, glosario, catálogos (estados/motivos), y definición de interfaces entre áreas/sistemas._x000a_A4: Realizar talleres de socialización/validación con stakeholders y cerrar acuerdos (Riesgo, Canales, Ops, TI, Legal/Compliance)._x000a_A5: Publicar en repositorio corporativo con versionado (control de cambios, releases, calendario de revisiones)._x000a_A6: Implementar mecanismo de mantenimiento: cadencia de actualización, comité de cambios y “definition of done” documental por iniciativa._x000a_A7: Definir cadencias operativas formales: daily operativo, semanal táctico, quincenal estratégico. Establecer Owner E2E del proceso de crédito con autoridad para resolver conflictos entre áreas._x000a_A8: Implementar modelo de gobierno incremental: medir madurez baseline (AS-IS) con scoring COBIT y definir metas por cada ciclo TO-BE."/>
    <s v="E1: Blueprint E2E (diagrama principal) del flujo de admisión TO-BE con variantes (Express/Normal/Sin oferta/NO OK; TAPP/SVP/Presencial)._x000a_E2: Paquete de documentación por etapa (Generación de oferta, Simulación, Evaluación, Documentación, Curse): objetivos, entradas/salidas, controles._x000a_E3: RACI y ownership (dueño del proceso, dueños por etapa, aprobadores, operación)._x000a_E4: Glosario y diccionario de términos (etapas, estados, “No”, motivos, IDs, SLA)._x000a_E5: Mapa de integraciones e interfaces (sistemas involucrados, APIs, datos, SLAs, puntos de fallo)._x000a_E6: Catálogo estándar de estados/motivos (para operación y analítica: INI-09/10)._x000a_E7: Materiales de socialización: presentaciones, minutas, FAQs y capacitaciones por área/canal._x000a_E8: Repositorio publicado (Confluence/SharePoint/etc.) con control de versiones y plantilla estándar._x000a_E9: Modelo de gobierno y cadencia (comité, proceso de cambios, checklist y calendario de revisión)."/>
    <m/>
    <s v="sponsor, dueños por etapa, repositorio y cadencia de actualización"/>
    <s v="Requiere sponsor, dueños por etapa, repositorio y cadencia de actualización; no depende de otras INI y actúa como base/gobierno para el resto._x000a__x000a_🔗 DEPENDENCIAS CRUZADAS (Func↔Téc): INI-29 (Gobierno E2E técnico — contraparte técnica)."/>
    <s v="Requiere sponsor, dueños por etapa, repositorio y cadencia de actualización; no depende de otras INI y actúa como base/gobierno para el resto."/>
    <s v="PENDIENTE EN CASO DE PRIORIZACIÓN"/>
    <s v="PMO / Gestión de Procesos (owner), Ger. Comercial, Ger. Riesgo, Operaciones, TI Arquitectura, Canales (TAPP/SVP/Sucursal), Legal/Compliance"/>
    <s v="Funcional + Técnica"/>
    <s v="FG-35"/>
    <s v=" Gobierno"/>
    <m/>
    <s v="Transversal (Gobierno)"/>
    <s v="Transversal"/>
    <s v="FG-35: Gobierno del proceso E2E, no es una etapa específica"/>
    <s v="Gobierno / Proceso (no aplicativo)"/>
    <s v="Todos los sistemas"/>
    <s v="Gobierno y Operación"/>
    <s v="Gobierno"/>
    <s v="N/A (organizacional)"/>
    <s v="RACI, cadencias, owner E2E"/>
    <s v="—"/>
    <s v="✅ FUSIÓN: Absorbe INI-29 (Owner+RACI+Cadencias). Ahora cubre blueprint funcional + modelo operativo gobierno. INI-29 eliminada."/>
    <s v="Fusionada (absorbió INI-29)"/>
  </r>
  <r>
    <s v="INI-13"/>
    <s v="Resiliencia Operativa"/>
    <s v="Hoy si un componente falla (crítico o no) el flujo completo se detiene sin rutas alternativas. No existe clasificación de dependencias por criticidad, ni fallbacks definidos, ni monitoreo proactivo de la salud de componentes clave (como la Base de Aprobados y su batch nocturno)._x000a__x000a_Esta iniciativa aborda:_x000a__x000a_(1) resiliencia funcional con modos degradados y fallbacks por etapa/canal; y_x000a__x000a_(2) sensor de salud de componentes críticos (Base de Aprobados, batch, campañas), para asegurar continuidad parcial controlada del servicio de crédito."/>
    <s v="Diseñar e implementar un marco de resiliencia operativa para el proceso de admisión de crédito que:_x000a__x000a_(1) clasifique dependencias por criticidad;_x000a__x000a_(2) defina modos degradados y fallbacks controlados por etapa, canal y tipo de cliente;_x000a__x000a_(3) establezca lineamientos para mantener continuidad operativa ante contingencias, minimizando interrupciones totales; y_x000a__x000a_(4) asegure el mantenimiento de controles de riesgo y compliance durante la operación degradada."/>
    <n v="142044.84304932735"/>
    <x v="2"/>
    <x v="5"/>
    <s v="B1: Reduce caídas completas del onboarding cuando falla un componente no crítico (modos degradados)._x000a_B2: Detección temprana de incidentes en componentes clave (Base de Aprobados, batch, campañas) antes de impacto masivo._x000a_B3: Mejora la conversión al evitar pérdidas por indisponibilidad parcial o fallas silenciosas._x000a_B4: Aumenta la continuidad operativa (TAPP, SVP, Sucursal) con rutas alternativas controladas._x000a_B5: Reduce pérdida de conversión por fallas silenciosas._x000a_B6: Reduce impacto en SLA/TAT al permitir avanzar o aparcar casos con reintentos automáticos._x000a_B7: Mantiene control y cumplimiento al definir qué fallbacks son permitidos y cuáles requieren derivación humana o stop._x000a_B9: Mejora observabilidad y gestión de incidentes._x000a_B10: Aumenta confiabilidad de campañas y canal banner al asegurar calidad y disponibilidad de datos._x000a_B11: Entrega trazabilidad para análisis de causa raíz."/>
    <s v="A1: Clasificar dependencias por criticidad (críticas / no críticas) por etapa._x000a_A2: Definir estrategias de fallback por falla: reintento, cola y reproceso, caché/último valor válido, bypass controlado, derivación humana o pausa con retoma._x000a_A3: Definir reglas de degradación permitida por tipo de cliente y canal._x000a_A4: Definir qué es validación y falla en componentes clave (Base de Aprobados, batch nocturno, campañas)._x000a_A5: Definir métricas del sensor de salud: % fallas, volumen, frescura del batch, distribución por motivo, umbrales y ventanas de tiempo._x000a_A7: Implementar controles técnicos: timeouts, circuit breaker, colas, idempotencia, almacenamiento de estado para retoma._x000a_A8: Implementar sensor de salud de componentes críticos._x000a_A9: Implementar alertamiento operacional, rutas de escalamiento y runbooks por tipo de falla._x000a_A10: Implementar trazabilidad de eventos, motivos y métricas de modo degradado y sensor de salud._x000a_A11: Pruebas de resiliencia, simulación de fallas, calibración de umbrales y piloto controlado."/>
    <s v="E1: Matriz de dependencias y criticidad por etapa/canal._x000a_E2: Catálogo de modos degradados y fallbacks aprobados._x000a_E3: Reglas de continuidad vs stop._x000a_E4: Especificación del sensor de salud._x000a_E5: Definición de reglas de validación y catálogo de fallas/motivos._x000a_E7: Diseño técnico de resiliencia._x000a_E8: Implementación del motor de monitoreo/sensor._x000a_E9: Catálogo de motivos/códigos de fallas y fallback activado._x000a_E10: Implementación en orquestador/microservicios/canales._x000a_E11: Configuración de alertas y escalamiento + runbooks operativos._x000a_E12: Dashboard integrado de salud y resiliencia._x000a_E13: Plan y evidencias de pruebas de resiliencia + UAT._x000a_E14: Plan de operación."/>
    <s v="INI-06, INI-07, INI-09, INI-12, INI-24, INI-27, INI-31"/>
    <s v="clasificación de dependencias críticas/no críticas_x000a_patrones de resiliencia (timeouts / circuit breaker / colas / retry)_x000a_instrumentación de validación en FICO/Base Aprobados_x000a_definición de umbrales y ventanas_x000a_runbooks y aprobación de fallbacks por Riesgo_x000a_absorbe el alcance del sensor de salud Base Aprobados"/>
    <s v="Requiere clasificación de dependencias críticas/no críticas, patrones de resiliencia (timeouts/circuit breaker/colas/retry), instrumentación de validación en FICO/Base Aprobados (éxito/falla+motivo), definición de umbrales y ventanas, runbooks y aprobación de fallbacks por Riesgo; depende de INI-12 (gobierno), se apalanca en INI-07 (pausar/retomar), INI-06 (derivación a canales) y se mide con INI-09. Absorbe el alcance completo de la anterior INI-13 (ex INI-17) (sensor de salud Base Aprobados). Los flujos de excepción por deprecación son clave para los ciclos TO-BE 2 y 3 (migración OSB→Camel, Siebel→Salesforce)._x000a__x000a_🔗 DEPENDENCIAS CRUZADAS (Func↔Téc): INI-24 (Camel con circuit breaker); INI-27 (Observabilidad para detectar fallas); INI-31 (Runbooks técnicos)."/>
    <s v="Requiere clasificación de dependencias críticas/no críticas, patrones de resiliencia (timeouts/circuit breaker/colas/retry), instrumentación de validación en FICO/Base Aprobados (éxito/falla+motivo), definición de umbrales y ventanas, runbooks y aprobación de fallbacks por Riesgo; depende de INI-12 (gobierno), se apalanca en INI-07 (pausar/retomar), INI-06 (derivación a canales) y se mide con INI-09. Absorbe el alcance completo de la anterior INI-13 (ex INI-17) (sensor de salud Base Aprobados). Los flujos de excepción por deprecación son clave para los ciclos TO-BE 2 y 3 (migración OSB→Camel, Siebel→Salesforce)."/>
    <s v="PENDIENTE EN CASO DE PRIORIZACIÓN"/>
    <s v="TI Arquitectura/Plataforma_x000a_Operaciones_x000a_Sonda_x000a_Canales_x000a_Proveedor FICO/Ventiv_x000a_Ger. Riesgo_x000a_Ger. Comercial_x000a_Data/BI"/>
    <s v="Técnica"/>
    <s v="Transversal"/>
    <s v=" Gobierno📊 Negocio"/>
    <m/>
    <s v="Transversal (todo el flujo)"/>
    <s v="Transversal"/>
    <s v="Resiliencia operativa aplicable a todas las etapas"/>
    <s v="Gobierno / Proceso (no aplicativo)"/>
    <s v="Todos los sistemas"/>
    <s v="Gobierno y Operación"/>
    <s v="Gobierno"/>
    <s v="N/A (organizacional)"/>
    <s v="Resiliencia operativa, continuidad"/>
    <s v="—"/>
    <s v="🟢 OK: Nombre confirmado. Delimita QUÉ hacer ante falla (reglas negocio). Complementa INI-30 (proveedores) e INI-31 (runbooks)."/>
    <s v="Sin cambios"/>
  </r>
  <r>
    <s v="INI-13"/>
    <s v=" Flujos de Excepción"/>
    <s v="Hoy no existe un flujo formal para operar cuando un sistema se depreca, migra o presenta una falla prolongada. Esto dificulta mantener el nivel de servicio y tomar decisiones controladas durante transiciones tecnológicas o contingencias extendidas._x000a__x000a_Esta iniciativa define flujos de excepción para escenarios de deprecación, migración o falla prolongada de sistemas, estableciendo cómo sostener continuidad parcial, quién activa/desactiva medidas excepcionales y cómo ejecutar rollback o derivación controlada._x000a_"/>
    <s v="Diseñar e implementar flujos de excepción para el proceso de admisión de crédito que:_x000a__x000a_(1) definan cómo operar ante deprecación, migración o falla prolongada de sistemas;_x000a__x000a_(2) establezcan criterios de activación, desactivación, escalamiento y rollback;_x000a__x000a_(3) aseguren continuidad parcial controlada del servicio; y_x000a__x000a_(4) resguarden controles de riesgo, compliance y trazabilidad durante escenarios excepcionales."/>
    <n v="142044.84304932735"/>
    <x v="0"/>
    <x v="5"/>
    <s v="B4: Aumenta la continuidad operativa con rutas alternativas controladas._x000a_B7: Mantiene control y cumplimiento al definir qué excepciones son permitidas y cuáles requieren derivación humana o stop._x000a_B8: Habilita plan de transición controlada cuando se depreca o migra un sistema (ej: OSB→Camel, Siebel→Salesforce)._x000a_B9: Mejora observabilidad y gestión de incidentes al formalizar qué excepción se activó y su impacto._x000a_B11: Entrega trazabilidad para análisis posterior y auditoría."/>
    <s v="A6: Diseñar flujos de excepción formales para escenarios de deprecación/migración de sistemas: qué pasa durante la transición, cómo se mantiene servicio parcial, quién decide activar/desactivar, rollback._x000a_Definir escenarios tipo de excepción: deprecación, migración, caída prolongada, degradación severa._x000a_Definir criterios de activación y desactivación._x000a_Definir responsables de decisión y escalamiento._x000a_Definir alternativas operativas por canal/etapa._x000a_Definir criterios de rollback y retorno a operación normal._x000a_Definir comunicaciones, trazabilidad y evidencia de activación._x000a_Ejecutar pruebas / simulaciones de escenarios excepcionales."/>
    <s v="E6: Diseño de flujos de excepción para deprecación/migración de sistemas (procedimiento, criterios activación, rollback, comunicación)._x000a_Matriz de escenarios excepcionales y respuesta esperada._x000a_Protocolo de activación/desactivación._x000a_Runbook de operación excepcional._x000a_Matriz RACI de decisiones._x000a_Evidencias de prueba / simulación."/>
    <s v="INI-06, INI-07, INI-09, INI-12, INI-24, INI-27, INI-31"/>
    <s v="lineamientos de transición tecnológica_x000a_definición de responsables de activación_x000a_aprobación de operación excepcional por Riesgo/Negocio_x000a_runbooks operativos_x000a_dependencia con ciclos TO-BE 2 y 3_x000a_migración OSB→Camel, Siebel→Salesforce"/>
    <s v="Requiere clasificación de dependencias críticas/no críticas, patrones de resiliencia (timeouts/circuit breaker/colas/retry), instrumentación de validación en FICO/Base Aprobados (éxito/falla+motivo), definición de umbrales y ventanas, runbooks y aprobación de fallbacks por Riesgo; depende de INI-12 (gobierno), se apalanca en INI-07 (pausar/retomar), INI-06 (derivación a canales) y se mide con INI-09. Absorbe el alcance completo de la anterior INI-13 (ex INI-17) (sensor de salud Base Aprobados). Los flujos de excepción por deprecación son clave para los ciclos TO-BE 2 y 3 (migración OSB→Camel, Siebel→Salesforce)._x000a__x000a_🔗 DEPENDENCIAS CRUZADAS (Func↔Téc): INI-24 (Camel con circuit breaker); INI-27 (Observabilidad para detectar fallas); INI-31 (Runbooks técnicos)."/>
    <s v="Requiere clasificación de dependencias críticas/no críticas, patrones de resiliencia (timeouts/circuit breaker/colas/retry), instrumentación de validación en FICO/Base Aprobados (éxito/falla+motivo), definición de umbrales y ventanas, runbooks y aprobación de fallbacks por Riesgo; depende de INI-12 (gobierno), se apalanca en INI-07 (pausar/retomar), INI-06 (derivación a canales) y se mide con INI-09. Absorbe el alcance completo de la anterior INI-13 (ex INI-17) (sensor de salud Base Aprobados). Los flujos de excepción por deprecación son clave para los ciclos TO-BE 2 y 3 (migración OSB→Camel, Siebel→Salesforce)."/>
    <s v="PENDIENTE EN CASO DE PRIORIZACIÓN"/>
    <s v="TI Arquitectura/Plataforma_x000a_Operaciones_x000a_Canales_x000a_Ger. Riesgo_x000a_Ger. Comercial_x000a_dueños de sistemas en migración"/>
    <s v="Funcional"/>
    <s v="Transversal"/>
    <s v=" Gobierno📊 Negocio"/>
    <m/>
    <s v="Transversal (todo el flujo)"/>
    <s v="Transversal"/>
    <s v="Resiliencia operativa aplicable a todas las etapas"/>
    <s v="Gobierno / Proceso (no aplicativo)"/>
    <s v="Todos los sistemas"/>
    <s v="Gobierno y Operación"/>
    <s v="Gobierno"/>
    <s v="N/A (organizacional)"/>
    <s v="Resiliencia operativa, continuidad"/>
    <s v="—"/>
    <s v="🟢 OK: Nombre confirmado. Delimita QUÉ hacer ante falla (reglas negocio). Complementa INI-30 (proveedores) e INI-31 (runbooks)."/>
    <s v="Sin cambios"/>
  </r>
  <r>
    <s v="INI-14"/>
    <s v="Módulo de Solicitud de Crédito en TAPP (Sin Banner) — "/>
    <s v="Habilitar un módulo permanente en TAPP para solicitar crédito sin depender del banner de oferta pre-aprobada. Hoy si el cliente no tiene oferta en Base de Aprobados, no puede iniciar el flujo desde la app. Separa el canal banner (Express/Normal) del canal por demanda (Sin oferta → Pre-evaluación FICO)."/>
    <s v="Habilitar en TAPP un módulo permanente para iniciar una solicitud de crédito sin depender del banner de oferta pre-aprobada, permitiendo que clientes sin oferta en Base de Aprobados también puedan comenzar el flujo desde la app, separando claramente: (i) canal banner (Express/Normal con oferta) y (ii) canal por demanda (Sin oferta → Pre-evaluación FICO → oferta dinámica/siguiente etapa)."/>
    <n v="59560.538116591932"/>
    <x v="0"/>
    <x v="0"/>
    <s v="B1: Aumenta el acceso al crédito desde TAPP para clientes sin oferta (hoy no pueden iniciar)._x000a_B2: Incrementa volumen de oportunidades y conversión al habilitar un canal “por demanda” siempre disponible._x000a_B3: Reduce dependencia del banner (menos estacionalidad/campañas para originar)._x000a_B4: Mejora la experiencia: el cliente encuentra una opción clara y estable (“Solicitar crédito”)._x000a_B5: Permite enrutar correctamente al TO-BE: con oferta → Express/Normal; sin oferta → INI-01 (pre-FICO) y luego INI-02 si aplica._x000a_B6: Habilita mejor medición del funnel digital (base para INI-09/10) al instrumentar inicio y abandonos en el módulo."/>
    <s v="A1: Definir el alcance UX/UI del módulo (entry point permanente, elegibilidad, copy, consentimientos) y su convivencia con el banner._x000a_A2: Diseñar el ruteo TO-BE en TAPP: con oferta → Express/Normal; sin oferta → pre-evaluación FICO; NO OK → mensaje/fin._x000a_A3: Definir datos mínimos a capturar en TAPP para iniciar “por demanda” (identificación, contacto, autorización, etc.)._x000a_A4: Implementar integraciones: microservicio de derivación (INI-05 si aplica), pre-evaluación FICO (INI-01), y continuidad hacia simulación/oferta dinámica._x000a_A5: Implementar instrumentación de eventos (inicio, paso de etapa, decisión, abandono, errores) para funnel y abandono (INI-09/10)._x000a_A6: Pruebas, piloto y despliegue gradual (feature flags, cohortes, monitoreo de conversión y performance)."/>
    <s v="E1: Diseño UX/UI del módulo permanente en TAPP (wireframes, copy, reglas de visibilidad y navegación)._x000a_E2: Diseño funcional de ruteo TO-BE en TAPP (con oferta/Express/Normal vs sin oferta/pre-FICO vs NO OK)._x000a_E3: Requerimientos y modelo de datos mínimos + consentimientos/autorizaciones para iniciar solicitud._x000a_E4: Especificación de integraciones/APIs (derivación INI-05, pre-FICO INI-01, INI-02 si corresponde, simulación)._x000a_E5: Implementación en TAPP (front + back) con feature flags y configuración por ambiente._x000a_E6: Esquema de instrumentación (eventos y motivos) alineado a funnel/abandono (INI-09/10)._x000a_E7: Plan y evidencias de pruebas (funcionales, seguridad, performance, E2E) + UAT._x000a_E8: Tablero de monitoreo (uso del módulo, conversión por ruta, abandonos, errores, latencia) + alertas._x000a_E9: Reporte de piloto y plan de escalamiento (segmentos, mejoras UX, ajustes de ruteo)."/>
    <s v="INI-01, INI-02, INI-05, INI-09, INI-12, INI-15, INI-20, INI-22"/>
    <s v="UX/UI del módulo permanente en TAPP, consentimientos y ruteo “con oferta vs por demanda”, más integraciones de decisión (vía FICO) y telemetría; y usualmente , se mide con  y se recomienda complementar con  para evitar pérdida de avance en simulación"/>
    <s v="Requiere UX/UI del módulo permanente en TAPP, consentimientos y ruteo “con oferta vs por demanda”, más integraciones de decisión (vía FICO) y telemetría; depende de INI-12, INI-05 (derivación), INI-01 (pre-FICO sin oferta) y usualmente INI-02 (oferta dinámica), se mide con INI-09/INI-09 (ex INI-10) y se recomienda complementar con INI-15 para evitar pérdida de avance en simulación._x000a__x000a_🔗 DEPENDENCIAS CRUZADAS (Func↔Téc): INI-22 (Apigee como gateway para TAPP); INI-20 (Precálculo de oferta viable)."/>
    <s v="Requiere UX/UI del módulo permanente en TAPP, consentimientos y ruteo “con oferta vs por demanda”, más integraciones de decisión (vía FICO) y telemetría; depende de INI-12, INI-05 (derivación), INI-01 (pre-FICO sin oferta) y usualmente INI-02 (oferta dinámica), se mide con INI-09/INI-09 (ex INI-10) y se recomienda complementar con INI-15 para evitar pérdida de avance en simulación."/>
    <s v="PENDIENTE EN CASO DE PRIORIZACIÓN"/>
    <s v="Canales Digitales (TAPP) (owner), Ger. Comercial/Producto, TI Mobile/Integración, Ger. Riesgo (ruteo sin oferta), Proveedor FICO/Ventiv, Data/BI (medición)"/>
    <s v="Funcional"/>
    <s v="Punto de Entrada"/>
    <s v="🟡 Canal 🟣 Cliente"/>
    <m/>
    <s v="Punto de Entrada"/>
    <s v="Punto de Entrada"/>
    <s v="Módulo solicitud en TAPP sin banner → entrada al flujo"/>
    <s v="TAPP (Canal Digital)"/>
    <s v="Apigee, BFF"/>
    <s v="Canal Digital"/>
    <s v="Canal (Frontend)"/>
    <s v="GCP (GKE)"/>
    <s v="TAPP (React), Apigee"/>
    <s v="—"/>
    <m/>
    <s v="Sin cambios"/>
  </r>
  <r>
    <s v="INI-15"/>
    <s v="Recuperación de Simulación ante Caída (Session Recovery) — "/>
    <s v="Persistir el estado de la simulación en tiempo real para que, si el sistema cae, el cliente retome exactamente donde quedó al volver el servicio. Hoy se pierde todo el avance y debe reiniciar desde cero."/>
    <s v="Implementar persistencia en tiempo real del estado de Simulación (especialmente en TAPP y SVP) para que, ante una caída del sistema/app o pérdida de sesión, el cliente pueda retomar exactamente donde quedó al reingresar, sin reiniciar desde cero, con controles de vigencia, seguridad y trazabilidad."/>
    <n v="70748.87892376681"/>
    <x v="2"/>
    <x v="2"/>
    <s v="B1: Reduce abandono en Simulación al evitar que el cliente pierda el avance por caídas/desconexiones._x000a_B2: Mejora la experiencia digital (continuidad “exacta” de la simulación)._x000a_B3: Aumenta conversión al disminuir fricción en el paso Simulación → Evaluación._x000a_B4: Disminuye reprocesos y carga en canales/soporte (menos reclamos y reintentos)._x000a_B5: Aporta resiliencia funcional (complementa modo degradado / continuidad del flujo)._x000a_B6: Habilita analítica de estabilidad: identificación de puntos de falla y su impacto en el funnel."/>
    <s v="A1: Definir qué significa “retomar exactamente”: datos a persistir (inputs, oferta seleccionada, resultados parciales, pantalla/paso)._x000a_A2: Definir el modelo de sesión: ID de simulación, vinculación a cliente, multi-dispositivo, concurrencia, y caducidad (TTL)._x000a_A3: Diseñar e implementar el session store (API guardar/leer), con guardado incremental (autosave) y versionado._x000a_A4: Integrar TAPP/SVP para autosave y resume (al abrir: detectar sesión vigente y rehidratar pantalla/estado)._x000a_A5: Definir manejo de errores y seguridad: cifrado, PII, consentimiento, límites de reintentos, “limpiar sesión” si corresponde._x000a_A6: Pruebas de recuperación: caída de app, timeout, caída backend, reconexión, performance y casos límite."/>
    <s v="E1: Definición funcional de estado de simulación a persistir + criterios de “resume” (exactitud, caducidad, restricciones)._x000a_E2: Diseño del modelo de sesión (IDs, TTL, concurrencia, multi-canal si aplica) y reglas de recuperación._x000a_E3: Especificación de APIs de Session Recovery (guardar incremental, obtener estado, cerrar/cancelar, expiración)._x000a_E4: Implementación del Session Store (persistencia, cifrado, auditoría, configuración por ambiente)._x000a_E5: Implementación en TAPP y SVP (autosave, rehidratación de UI, mensajes al cliente)._x000a_E6: Catálogo de motivos/estados de recuperación (recuperada, expirada, inconsistente, no encontrada) para analítica._x000a_E7: Plan y evidencias de pruebas (E2E, performance, resiliencia, seguridad/PII) + UAT._x000a_E8: Monitoreo/KPIs (tasa de recovery, abandono en simulación, errores de resume, latencia de guardado) + alertas._x000a_E9: Guía operativa (runbook) y criterios de soporte: cuándo resetear sesión, cómo diagnosticar fallas."/>
    <s v="INI-07, INI-09, INI-12, INI-13, INI-16, INI-25"/>
    <s v="definir estado exacto de simulación a persistir, session store seguro y performance de autosave, TTL y mecanismo de retoma; y se alinea con , habilita  y refuerza continuidad de; su impacto se observa en"/>
    <s v="Requiere definir estado exacto de simulación a persistir, session store seguro y performance de autosave, TTL y mecanismo de retoma; depende de INI-12 y se alinea con INI-07 (ideal compartir ID/store), habilita INI-16 (notificación post-caída) y refuerza continuidad de INI-13; su impacto se observa en INI-09 (ex INI-10)._x000a__x000a_🔗 DEPENDENCIAS CRUZADAS (Func↔Téc): INI-25 (Redis como session store)._x000a_[Dependencia] INI-07 (persistencia de estado) debe estar implementada. INI-15 reutiliza esa capa para el caso de falla de sistema."/>
    <s v="Requiere definir estado exacto de simulación a persistir, session store seguro y performance de autosave, TTL y mecanismo de retoma; depende de INI-12 y se alinea con INI-07 (ideal compartir ID/store), habilita INI-16 (notificación post-caída) y refuerza continuidad de INI-13; su impacto se observa en INI-09 (ex INI-10)."/>
    <s v="PENDIENTE EN CASO DE PRIORIZACIÓN"/>
    <s v="Canales Digitales (TAPP/SVP), TI Arquitectura/Integración, TI Mobile, Seguridad/Ciber (PII), Data/BI (impacto en abandono), Operaciones (soporte)"/>
    <s v="Funcional"/>
    <s v="Simulación → Curse"/>
    <s v="🟡 Canal 🟣 Cliente"/>
    <m/>
    <s v="Simulación"/>
    <s v="Simulación"/>
    <s v="Session recovery: recuperación ante caída durante simulación"/>
    <s v="TAPP (Canal Digital)"/>
    <s v="BFF, Kafka, FICO"/>
    <s v="Canal Digital + Integración"/>
    <s v="Canal + Integración"/>
    <s v="GCP (GKE)"/>
    <s v="TAPP, BFF, Kafka (consumer recovery)"/>
    <s v="—"/>
    <s v="🟡 DEPENDENCIA: Requiere INI-07 (persistencia de estado). Reutiliza capa base para recovery ante caída."/>
    <s v="Dependencia agregada"/>
  </r>
  <r>
    <s v="INI-16"/>
    <s v="Notificación Proactiva Post-Caída — "/>
    <s v="Al recuperarse el sistema, notificar automáticamente (push TAPP, email o SMS) a los clientes con solicitudes interrumpidas que ya pueden retomar su proceso, incluyendo acceso directo a la pantalla donde quedaron."/>
    <s v="Implementar un mecanismo de notificación proactiva (push en TAPP, email y/o SMS) que, cuando el sistema se recupere tras una caída/incidente, identifique automáticamente a los clientes con solicitudes interrumpidas y les envíe un mensaje para retomar el proceso, incluyendo un acceso directo (deep link) a la pantalla/etapa donde quedaron."/>
    <n v="52968.609865470855"/>
    <x v="0"/>
    <x v="2"/>
    <s v="B1: Reduce abandono post-incidente al reactivar clientes que quedaron interrumpidos._x000a_B2: Incrementa conversión al facilitar el retorno inmediato con acceso directo al punto exacto del flujo._x000a_B3: Mejora la experiencia (comunicación transparente y oportuna; menos frustración)._x000a_B4: Disminuye carga en soporte/canales (menos consultas “no pude terminar / se cayó”)._x000a_B5: Aporta resiliencia funcional y continuidad (complementa INI-15 Session Recovery e INI-07 retomabilidad)._x000a_B6: Habilita medición del impacto de incidentes (tasa de notificados, retoma, conversión post-caída)."/>
    <s v="A1: Definir qué es “solicitud interrumpida” y reglas de elegibilidad para notificar (etapas, TTL, opt-in, canal disponible)._x000a_A2: Definir el gatillo de recuperación (cómo se detecta “servicio restablecido”: monitoreo, evento ITSM, health-check) y ventanas de envío._x000a_A3: Diseñar el listado de afectados (consulta a store de estado/solicitudes: INI-15/INI-07) y deduplicación por cliente._x000a_A4: Diseñar mensajes y journeys: contenido por canal (push/email/SMS), deep link a TAPP/SVP, y manejo de “link expirado”._x000a_A5: Implementar orquestación de notificaciones (proveedor push, gateway SMS/email), seguridad y trazabilidad de envíos._x000a_A6: Pruebas y piloto: escenarios de caída/recuperación, volumen, reintentos, tasas de entrega y conversión post-notificación."/>
    <s v="E1: Definición funcional: criterios de interrupción, elegibilidad, ventanas, opt-in/consentimiento y TTL de retoma._x000a_E2: Diseño del mecanismo de gatillo post-recuperación (evento, fuente, gobernanza con TI/Operaciones)._x000a_E3: Diseño del modelo de selección de afectados (query, deduplicación, priorización por etapa/canal)._x000a_E4: Plantillas de mensajería (push/email/SMS) + reglas de personalización y copy legal/compliance._x000a_E5: Especificación de deep links y experiencia de retoma (pantalla destino, validación, expiración)._x000a_E6: Implementación del servicio/orquestador de notificaciones + integraciones con proveedores y stores de estado._x000a_E7: Catálogo de estados/motivos de notificación (enviada, entregada, rebotada, opt-out, expirada) para analítica._x000a_E8: Plan y evidencias de pruebas (E2E, carga, seguridad/PII, contingencias) + UAT._x000a_E9: Dashboard de KPIs (tasa de entrega, CTR/deep link, retoma, conversión post-caída) + runbook operativo."/>
    <s v="INI-07, INI-09, INI-13, INI-15, INI-27"/>
    <s v="canales de notificación (push TAPP/SMS/email), opt-in/compliance, trigger oficial de “servicio recuperado” y deep links; se mide con  y complementa"/>
    <s v="Requiere canales de notificación (push TAPP/SMS/email), opt-in/compliance, trigger oficial de “servicio recuperado” y deep links; depende de INI-15 (y opcionalmente INI-07 si la retoma es por etapa), se mide con INI-09/INI-09 (ex INI-10) y complementa INI-13._x000a__x000a_🔗 DEPENDENCIAS CRUZADAS (Func↔Téc): INI-27 (Observabilidad para trigger de recuperación)._x000a_[Dependencia] INI-07 + INI-15. La notificación proactiva requiere que exista la persistencia de estado (INI-07) y la capacidad de detectar la caída y recovery (INI-15)."/>
    <s v="Requiere canales de notificación (push TAPP/SMS/email), opt-in/compliance, trigger oficial de “servicio recuperado” y deep links; depende de INI-15 (y opcionalmente INI-07 si la retoma es por etapa), se mide con INI-09/INI-09 (ex INI-10) y complementa INI-13."/>
    <s v="PENDIENTE EN CASO DE PRIORIZACIÓN"/>
    <s v="Canales Digitales (TAPP/SVP), TI Integración/Arquitectura, Operaciones (gatillo operacional y comunicaciones), Proveedor mensajería (Push/SMS/Email), Seguridad/Compliance (opt-in y contenido)"/>
    <s v="Funcional"/>
    <s v="Simulación → Curse"/>
    <s v="Canal, Cliente"/>
    <m/>
    <s v="Simulación → Curse"/>
    <s v="Simulación → Curse"/>
    <s v="Notificación post-caída aplica a cualquier etapa post-simulación"/>
    <s v="TAPP (Canal Digital)"/>
    <s v="Kafka, FICO"/>
    <s v="Canal Digital"/>
    <s v="Canal (UX)"/>
    <s v="GCP"/>
    <s v="TAPP (notificaciones), Kafka"/>
    <s v="—"/>
    <s v="🟡 DEPENDENCIA: Requiere INI-07 + INI-15. Notificación post-recovery."/>
    <s v="Dependencia agregada"/>
  </r>
  <r>
    <s v="INI-18"/>
    <s v="Consolidación Motor FICO v7 + Deprecación v4/Nashorn + Paridad y Apagado Definitivo"/>
    <s v="Estabilización de FICO Blaze Advisor v7 como motor único de decisión. Deprecación completa de Blaze v4 y Nashorn. Incluye migración de reglas remanentes a v7, validación de paridad funcional y apagado definitivo de componentes legacy._x000a__x000a_[Fusión INI-19] Migración completa de todas las reglas, modelos y configuraciones remanentes de Blaze v4 a v7. Validación de paridad funcional con pruebas A/B en paralelo. Apagado definitivo de la instancia v4 y liberación de infraestructura."/>
    <s v="Eliminar la dualidad de motores v4/v7 que genera inestabilidad. Consolidar un motor único con 3 puntos de entrada Blaze (reglas → modelo → oferta). Reducir los 134.446 errores registrados en 5 meses por conflictos de versiones."/>
    <n v="64358.744394618836"/>
    <x v="2"/>
    <x v="5"/>
    <s v="B1_x0009_🟢 Cuantitativo_x0009_Reducción de errores FICO_x0009_Eliminación de errores por dualidad v4/v7 (134.446 errores en 5 meses)_x000a_B2_x0009_🟢 Cuantitativo_x0009_Simplificación operativa_x0009_Un solo motor = una sola configuración, un solo monitoreo, un solo equipo_x000a_B3_x0009_🟡 Cualitativo_x0009_Base para evolución_x0009_Habilita parametrización (INI-33) e IA sobre motor estable"/>
    <s v="A1_x0009_Inventario de reglas v4 pendientes de migración_x0009_Levantar todas las reglas, modelos y configuraciones que aún residen en Blaze v4/Nashorn_x000a_A2_x0009_Migración y validación de paridad funcional_x0009_Migrar cada regla a v7, ejecutar pruebas A/B comparando resultados v4 vs v7 con mismo set de datos_x000a_A3_x0009_Apagado de v4 y Nashorn_x0009_Plan de deprecación con rollback, fecha de corte, comunicación a equipos_x000a_A4_x0009_Estabilización post-migración_x0009_Monitoreo reforzado 30 días post-apagado, validación de métricas de error"/>
    <s v="E1_x0009_Inventario de reglas v4 con estado de migración_x000a_E2_x0009_Reporte de pruebas de paridad funcional A/B_x000a_E3_x0009_Plan de deprecación v4 con cronograma y rollback_x000a_E4_x0009_Reporte post-mortem de estabilización"/>
    <s v="INI-12"/>
    <s v="Accesos a ambientes FICO (OCI + OKE)"/>
    <s v="Accesos a ambientes FICO (OCI + OKE), INI-29 (Gobierno E2E para coordinar migración)_x000a__x000a_🔗 DEPENDENCIAS CRUZADAS (Téc→Func): INI-12 (Gobierno funcional para coordinar migración v7)."/>
    <s v="Accesos a ambientes FICO (OCI + OKE), INI-29 (Gobierno E2E para coordinar migración)"/>
    <s v="PENDIENTE EN CASO DE PRIORIZACIÓN"/>
    <s v="Ger. Riesgo (owner funcional), Proveedor FICO/Ventiv (ejecución técnica), Sonda (infra OCI)"/>
    <s v="Técnica"/>
    <s v="Generación de Oferta"/>
    <s v="🔴 Riesgo"/>
    <m/>
    <s v="Generación de Oferta + Evaluación"/>
    <s v="Generación de Oferta + Evaluación"/>
    <s v="FICO v7 se usa tanto en pre-evaluación (Gen. Oferta) como en Evaluación"/>
    <s v="Motor FICO (DMPS/Blaze)"/>
    <s v="OSB, FlexCube, Blaze v4→v7"/>
    <s v="Motor de Decisión"/>
    <s v="Lógica de Negocio + Infraestructura"/>
    <s v="OCI Santiago → OKE"/>
    <s v="FICO DMPS, Blaze v4/v7, Nashorn deprecation"/>
    <s v="—"/>
    <s v="✅ FUSIÓN: Absorbe INI-19 (Paridad Blaze v7 + Apagado v4). INI-19 eliminada."/>
    <s v="Fusionada (absorbió INI-19)"/>
  </r>
  <r>
    <s v="INI-20"/>
    <s v="Servicio de Precálculo de Oferta Viable (GCP) / disponibilizar servicio de oferta aprobados"/>
    <s v="Nuevo servicio front de precálculo desplegado en GCP que calcula la oferta viable antes de invocar al motor FICO. Incluye 4 Jobs separados por gobierno funcional: Job Cliente (afiliación/MenuAndes), Job Producto (tasas/condiciones), Job Riesgo (scoring/knockout) y Job Cobranza (reprof)."/>
    <s v="Reducir invocaciones innecesarias al motor FICO filtrando clientes sin viabilidad tempranamente. Separar la responsabilidad funcional de cada Job por gerencia."/>
    <n v="45170.403587443943"/>
    <x v="2"/>
    <x v="5"/>
    <s v="B1_x0009_🟢 Cuantitativo_x0009_Reducción de carga FICO_x0009_~30-40% menos evaluaciones innecesarias_x000a_B2_x0009_🟢 Cuantitativo_x0009_Gobierno por gerencia_x0009_Cada Job tiene owner claro (Cliente, Producto, Riesgo, Cobranza)_x000a_B3_x0009_🟡 Cualitativo_x0009_Desacople funcional_x0009_Cada gerencia gestiona su lógica de forma independiente"/>
    <s v="A1_x0009_Diseño del servicio de precálculo_x0009_Arquitectura GCP, contratos API, lógica de filtrado_x000a_A2_x0009_Desarrollo de 4 Jobs por dominio_x0009_Job Cliente, Job Producto, Job Riesgo, Job Cobranza_x000a_A3_x0009_Configuración de 3 puntos de entrada Blaze_x0009_Reglas → Modelo → Oferta_x000a_A4_x0009_Integración con flujo existente_x0009_Conexión con OSB (TO-BE 1) o Camel (TO-BE 2)_x000a_A5_x0009_Pruebas de carga y validación_x0009_Simular volúmenes reales con clientes sin oferta"/>
    <s v="E1_x0009_Documento de diseño del servicio de precálculo_x000a_E2_x0009_4 Jobs desarrollados y desplegados en GCP_x000a_E3_x0009_Contratos API documentados_x000a_E4_x0009_Reporte de pruebas de carga"/>
    <s v="INI-02, INI-05, INI-12, INI-18"/>
    <m/>
    <s v="INI-18 (FICO v7 estable), INI-29 (Gobierno E2E), Acceso a GCP_x000a__x000a_🔗 DEPENDENCIAS CRUZADAS (Téc→Func): INI-02 (Definición funcional de oferta dinámica); INI-05 (Segmentación que define quién recibe precálculo)."/>
    <s v="INI-18 (FICO v7 estable), INI-29 (Gobierno E2E), Acceso a GCP"/>
    <s v="PENDIENTE EN CASO DE PRIORIZACIÓN"/>
    <s v="Ger. Riesgo, Ger. Producto, Ger. Clientes, Ger. Cobranza, TI Desarrollo"/>
    <s v="Técnica"/>
    <s v="Punto de Entrada"/>
    <s v="🔴 Riesgo🟡 Canal 🟢 Producto"/>
    <m/>
    <s v="Punto de Entrada → Generación de Oferta"/>
    <s v="Punto de Entrada → Generación de Oferta"/>
    <s v="Precálculo previo a generación de oferta"/>
    <s v="GCP Microservicios (nuevo)"/>
    <s v="FICO, FlexCube, MenuAndes"/>
    <s v="Microservicios GCP"/>
    <s v="Lógica de Negocio (nuevo)"/>
    <s v="GCP (GKE)"/>
    <s v="MS Precálculo (nuevo), FICO, FlexCube, MenuAndes"/>
    <s v="—"/>
    <s v="🟢 OK: Separada. Servicio precálculo + arquitectura Jobs. Depende de INI-23 para datos."/>
    <s v="Dependencia agregada"/>
  </r>
  <r>
    <s v="INI-21"/>
    <s v="MS Lógica Crédito (Reemplazo Servicio 147)/mejora del servicio 147"/>
    <s v="Desarrollo del microservicio MS Lógica Crédito en GCP que reemplaza al Servicio 147 del bus. Incluye la extracción de evalScoring fuera de Siebel y su incorporación como servicio independiente."/>
    <s v="Eliminar la dependencia del Servicio 147 (monolítico). Sacar evalScoring de Siebel para desacoplar lógica de scoring del CRM. Permitir evolución independiente de la lógica de crédito."/>
    <n v="104147.98206278027"/>
    <x v="2"/>
    <x v="6"/>
    <s v="B1_x0009_🟢 Cuantitativo_x0009_Eliminación Servicio 147_x0009_Componente legacy eliminado del bus_x000a_B2_x0009_🟢 Cuantitativo_x0009_Desacople evalScoring_x0009_Logica de scoring independiente del CRM_x000a_B3_x0009_🟡 Cualitativo_x0009_Evolución independiente_x0009_MS Lógica Crédito puede escalar y evolucionar sin tocar Siebel"/>
    <s v="A1_x0009_Análisis del Servicio 147_x0009_Mapear todas las funciones, dependencias y consumidores del Servicio 147_x000a_A2_x0009_Diseño del MS Lógica Crédito_x0009_Arquitectura microservicio GCP, contratos, circuit breaker_x000a_A3_x0009_Extracción de evalScoring de Siebel_x0009_Desarrollar servicio independiente de scoring_x000a_A4_x0009_Desarrollo y despliegue en GCP_x0009_Implementación, testing, despliegue_x000a_A5_x0009_Migración de consumidores_x0009_Redirigir todos los consumidores del Servicio 147 al MS nuevo"/>
    <s v="E1_x0009_Análisis de impacto del Servicio 147_x000a_E2_x0009_MS Lógica Crédito desplegado en GCP_x000a_E3_x0009_evalScoring como servicio independiente_x000a_E4_x0009_Plan de migración de consumidores"/>
    <s v="INI-08, INI-13, INI-18, INI-24"/>
    <m/>
    <s v="INI-24 (Camel como orquestador), INI-18 (FICO v7 estable)_x000a__x000a_🔗 DEPENDENCIAS CRUZADAS (Téc→Func): INI-08 (Racionalización journey para definir lógica del MS); INI-13 (Flujos de excepción que el MS debe manejar)."/>
    <s v="INI-24 (Camel como orquestador), INI-18 (FICO v7 estable)"/>
    <s v="PENDIENTE EN CASO DE PRIORIZACIÓN"/>
    <s v="TI Desarrollo, Ger. Riesgo, Proveedor Siebel"/>
    <s v="Técnica"/>
    <s v="Generación de Oferta"/>
    <s v="🔴 Riesgo🟡 Canal"/>
    <m/>
    <s v="Generación de Oferta"/>
    <s v="Generación de Oferta"/>
    <s v="MS que reemplaza Servicio 147 (cálculo oferta)"/>
    <s v="GCP Microservicios (nuevo)"/>
    <s v="OSB (Servicio 147), Siebel"/>
    <s v="Microservicios GCP"/>
    <s v="Lógica de Negocio (nuevo)"/>
    <s v="GCP (GKE)"/>
    <s v="MS Lógica Crédito (reemplaza Svc 147), OSB, Siebel"/>
    <s v="Servicio 147 (reemplazado)"/>
    <m/>
    <s v="Sin cambios"/>
  </r>
  <r>
    <s v="INI-22"/>
    <s v="Convergencia de Canales a Apigee (API Gateway)"/>
    <s v="Convergencia de todos los canales de entrada (presencial/Siebel y digital/TAPP) hacia API Gateway Apigee. Estandarización de contratos de entrada/salida y rate limiting centralizado para proteger al motor FICO."/>
    <s v="Unificar la capa de entrada de todos los canales. Implementar rate limiting centralizado. Estandarizar contratos API para facilitar incorporación de nuevos canales."/>
    <n v="46174.887892376682"/>
    <x v="2"/>
    <x v="5"/>
    <s v="B1_x0009_🟢 Cuantitativo_x0009_Rate limiting centralizado_x0009_Protección del motor FICO contra picos de concurrencia (hoy colapsa a 15-17 usuarios)_x000a_B2_x0009_🟡 Cualitativo_x0009_Estandarización de contratos_x0009_Todos los canales hablan el mismo idioma_x000a_B3_x0009_🟡 Cualitativo_x0009_Facilita nuevos canales_x0009_Cualquier canal nuevo se conecta vía Apigee"/>
    <s v="A1_x0009_Mapeo de canales actuales y contratos_x0009_Inventario de endpoints, formatos, protocolos por canal_x000a_A2_x0009_Diseño de API Gateway en Apigee_x0009_Políticas de rate limiting, throttling, seguridad, contratos estándar_x000a_A3_x0009_Migración de canales a Apigee_x0009_Presencial (Siebel) y Digital (TAPP) convergen a Apigee_x000a_A4_x0009_Pruebas de carga con rate limiting_x0009_Validar que Apigee protege al motor bajo picos"/>
    <s v="E1_x0009_Diseño de API Gateway con políticas_x000a_E2_x0009_Canales migrados a Apigee_x000a_E3_x0009_Reporte de pruebas de carga"/>
    <s v="INI-06, INI-12, INI-14"/>
    <s v="Acceso a Apigee (GCP)"/>
    <s v="Acceso a Apigee (GCP), INI-29 (Gobierno E2E)_x000a__x000a_🔗 DEPENDENCIAS CRUZADAS (Téc→Func): INI-06 (Modelo de derivación de canales); INI-14 (Módulo TAPP sin banner)."/>
    <s v="Acceso a Apigee (GCP), INI-29 (Gobierno E2E)"/>
    <s v="PENDIENTE EN CASO DE PRIORIZACIÓN"/>
    <s v="TI Arquitectura, TI Desarrollo, Ger. Digital"/>
    <s v="Técnica"/>
    <s v="Punto de Entrada"/>
    <s v="🟡 Canal"/>
    <m/>
    <s v="Punto de Entrada"/>
    <s v="Punto de Entrada"/>
    <s v="Convergencia canales a Apigee → gateway de entrada"/>
    <s v="Apigee (API Gateway)"/>
    <s v="TAPP, Siebel, BFF"/>
    <s v="Canal Digital + Integración"/>
    <s v="Integración (API Gateway)"/>
    <s v="GCP"/>
    <s v="Apigee (convergencia canales), TAPP, Siebel"/>
    <s v="—"/>
    <m/>
    <s v="Sin cambios"/>
  </r>
  <r>
    <s v="INI-23"/>
    <s v="Desarrollo de Flujos para Jobs + Análisis Servicios Bus"/>
    <s v="Desarrollo de los flujos de datos que alimentan los 4 Jobs (Cliente, Producto, Riesgo, Cobranza). Análisis detallado de los +25 servicios del bus OSB para planificar la migración a microservicios._x000a__x000a_[Gobierno de Jobs] Además del desarrollo de flujos de datos, esta iniciativa define los responsables funcionales de cada Job según dominio: Job Cliente → Ger. Clientes, Job Producto → Ger. Producto, Job Riesgo → Ger. Riesgo, Job Cobranza → Ger. Cobranza. Establece quién es owner de la calidad de datos de entrada de cada Job y el protocolo de escalamiento si un Job falla o entrega datos inconsistentes."/>
    <s v="Habilitar los flujos de datos para los Jobs del precálculo. Generar inventario completo de servicios del bus con dependencias para migración ordenada a microservicios."/>
    <n v="31919.282511210757"/>
    <x v="2"/>
    <x v="5"/>
    <s v="B1_x0009_🟢 Cuantitativo_x0009_Inventario de servicios del bus_x0009_Mapa completo de +25 servicios con dependencias para migración_x000a_B2_x0009_🟡 Cualitativo_x0009_Habilitación de Jobs_x0009_Flujos de datos listos para los 4 Jobs del precálculo"/>
    <s v="A1_x0009_Desarrollo de flujos de datos para cada Job_x0009_Conexiones a fuentes de datos por dominio_x000a_A2_x0009_Inventario completo de servicios OSB_x0009_Cada servicio EAI con: función, dependencias, consumidores, volumetría_x000a_A3_x0009_Análisis de migración a microservicios_x0009_Priorización de servicios para migración, complejidad, riesgo_x000a_A4_x0009_Documentación de contratos actuales_x0009_Contratos de entrada/salida de cada servicio EAI_x000a_A5_x0009_Definición de responsables funcionales por Job_x0009_Asignar owner por dominio: Job Cliente → Ger. Clientes, Job Producto → Ger. Producto, Job Riesgo → Ger. Riesgo, Job Cobranza → Ger. Cobranza."/>
    <s v="E1_x0009_Flujos de datos para 4 Jobs implementados_x000a_E2_x0009_Inventario de servicios OSB documentado_x000a_E3_x0009_Plan de migración priorizado a microservicios"/>
    <s v="INI-12, INI-20"/>
    <m/>
    <s v="INI-20 (Precálculo), INI-29 (Gobierno E2E)_x000a__x000a_🔗 DEPENDENCIAS CRUZADAS (Téc→Func): INI-12 (Gobierno funcional para definir owners de jobs)."/>
    <s v="INI-20 (Precálculo), INI-29 (Gobierno E2E)"/>
    <s v="PENDIENTE EN CASO DE PRIORIZACIÓN"/>
    <s v="TI Desarrollo, TI Arquitectura, Ger. Riesgo, Ger. Producto"/>
    <s v="Técnica"/>
    <s v="Transversal"/>
    <s v="🔴 Riesgo 🟢 Producto🟣 Cliente"/>
    <m/>
    <s v="Generación de Oferta (Transversal)"/>
    <s v="Generación de Oferta"/>
    <s v="Jobs alimentan datos para generación de oferta pero impactan todo el flujo"/>
    <s v="Jobs Batch / Control-M"/>
    <s v="MenuAndes, FlexCube, Siebel, Base Aprobados"/>
    <s v="Batch + Datos Maestros"/>
    <s v="Datos (ETL/Batch)"/>
    <s v="OCI Santiago (Control-M)"/>
    <s v="Jobs EIM, GITU, Control-M, shells FlexCube"/>
    <s v="—"/>
    <s v="🟡 DELIMITADA + AMPLIADA: Inventario servicios bus + flujos datos Jobs + gobierno de responsables por Job/dominio. Prerrequisito de INI-24 y INI-20."/>
    <s v="Delimitada + Ampliada"/>
  </r>
  <r>
    <s v="INI-24"/>
    <s v="Integracion de orquestador con Circuit Breaker"/>
    <s v="Implementación de Apache Camel en GCP como nuevo orquestador con circuit breaker nativo. Convive con OSB en TO-BE 2, elimina OSB en TO-BE 3. Incluye catálogo SOA de servicios migrados._x000a__x000a_[Owner eliminación OSB] Esta iniciativa es responsable de la migración lógica de TODOS los servicios fuera de OSB hacia Camel. Incluye desconexión de los +25 servicios EAI que hoy pasan por el bus. La desconexión es progresiva: TO-BE 2 (convivencia Camel+OSB) → TO-BE 3 (OSB apagado). El decomiso de la infraestructura física (WebLogic, licencias) es responsabilidad de INI-32."/>
    <s v="Reemplazar Oracle Service Bus por orquestador open-source sin vendor lock-in. Implementar circuit breaker para evitar cascada de fallos. Habilitar migración progresiva de servicios."/>
    <n v="91466.367713004496"/>
    <x v="2"/>
    <x v="5"/>
    <s v="B1_x0009_🟢 Cuantitativo_x0009_Eliminación vendor lock-in Oracle_x0009_Camel es open-source, portable entre nubes_x000a_B2_x0009_🟢 Cuantitativo_x0009_Circuit breaker nativo_x0009_Evita cascada de fallos que hoy degrada todo el sistema_x000a_B3_x0009_🟡 Cualitativo_x0009_Migración progresiva_x0009_Convivencia con OSB permite migrar sin big-bang"/>
    <s v="A1_x0009_Diseño de arquitectura Camel en GCP_x0009_Topología, circuit breaker, retry, dead letter queue_x000a_A2_x0009_Desarrollo de rutas Camel para primeros servicios_x0009_Migrar servicios prioritarios del bus_x000a_A3_x0009_Configuración de convivencia Camel + OSB_x0009_Proxy y routing para que ambos coexistan_x000a_A4_x0009_Catálogo SOA de servicios migrados_x0009_Documentar cada servicio en el catálogo_x000a_A5_x0009_(TO-BE 3) Apagado definitivo de OSB_x0009_Migración completa y decomisión de OSB"/>
    <s v="E1_x0009_Arquitectura Camel documentada_x000a_E2_x0009_Rutas Camel desplegadas en GCP_x000a_E3_x0009_Configuración de convivencia_x000a_E4_x0009_Catálogo SOA de servicios_x000a_E5_x0009_Acta de decomisión de OSB"/>
    <s v="ALT-02, INI-12, INI-13, INI-23"/>
    <m/>
    <s v="INI-23 (inventario servicios bus), INI-29 (Gobierno E2E), Decisión de ALT-02 (Camel vs OIC vs Workflows)_x000a__x000a_🔗 DEPENDENCIAS CRUZADAS (Téc→Func): INI-13 (Resiliencia operativa — define qué flujos de excepción)."/>
    <s v="INI-23 (inventario servicios bus), INI-29 (Gobierno E2E), Decisión de ALT-02 (Camel vs OIC vs Workflows)"/>
    <s v="PENDIENTE EN CASO DE PRIORIZACIÓN"/>
    <s v="TI Arquitectura, TI Desarrollo, Sonda (infra)"/>
    <s v="Técnica"/>
    <s v="Transversal"/>
    <s v="🔴 Riesgo 🟢 Producto🟣 Cliente 🟡 Canal"/>
    <m/>
    <s v="Transversal (Infraestructura)"/>
    <s v="Transversal"/>
    <s v="Orquestador con circuit breaker aplica a toda la cadena"/>
    <s v="Apache Camel (nuevo orquestador)"/>
    <s v="OSB (reemplazado), todos los servicios EAI"/>
    <s v="Integración / Orquestación"/>
    <s v="Integración (Orquestador)"/>
    <s v="GCP (nuevo)"/>
    <s v="Apache Camel, Circuit Breaker, OSB (apagar)"/>
    <s v="14 servicios EAI migrados a Camel"/>
    <s v="🟡 OWNER OSB: Responsable de migración lógica de servicios fuera de OSB → Camel. Desconexión progresiva +25 servicios. Decomiso infra → INI-32."/>
    <s v="Owner OSB declarado"/>
  </r>
  <r>
    <s v="INI-25"/>
    <s v="Caché Redis + Auditoría (Redis → Job → BD Corporativa)"/>
    <s v="Capa de caché con Redis para reducir invocaciones repetidas al bus. Pipeline de auditoría: Redis → Job → BD Corporativa para registrar toda transacción con fines de auditoría y prevención de fraude."/>
    <s v="Reducir latencia y carga sobre servicios EAI mediante caché. Crear trail de auditoría completo E2E. Habilitar detección de fraude con datos en BD Corporativa."/>
    <n v="48336.322869955155"/>
    <x v="2"/>
    <x v="5"/>
    <s v="B1_x0009_🟢 Cuantitativo_x0009_Reducción de invocaciones EAI_x0009_Caché elimina llamadas repetidas al bus (~14 por evaluación)_x000a_B2_x0009_🟢 Cuantitativo_x0009_Trail de auditoría completo_x0009_Toda transacción queda registrada_x000a_B3_x0009_🟡 Cualitativo_x0009_Capacidades anti-fraude_x0009_Datos centralizados permiten detección de patrones"/>
    <s v="A1_x0009_Diseño de capa de caché Redis_x0009_Políticas de TTL, invalidación, warm-up_x000a_A2_x0009_Desarrollo de pipeline Redis → Job → BD Corporativa_x0009_Flujo asíncrono de auditoría_x000a_A3_x0009_Integración con flujo de crédito_x0009_Caché en puntos de alta invocación_x000a_A4_x0009_Dashboard de auditoría_x0009_Visualización de transacciones registradas"/>
    <s v="E1_x0009_Capa de caché Redis desplegada_x000a_E2_x0009_Pipeline de auditoría operativo_x000a_E3_x0009_Dashboard de auditoría_x000a_E4_x0009_Documentación de políticas de caché"/>
    <s v="INI-07, INI-08, INI-24, INI-34"/>
    <s v="Acceso a Redis (GCP)"/>
    <s v="INI-24 (Camel), INI-34 (BD Corporativa), Acceso a Redis (GCP)_x000a__x000a_🔗 DEPENDENCIAS CRUZADAS (Téc→Func): INI-07 (Retomabilidad — define qué estado persistir); INI-08 (Racionalización — define qué cachear)."/>
    <s v="INI-24 (Camel), INI-34 (BD Corporativa), Acceso a Redis (GCP)"/>
    <s v="PENDIENTE EN CASO DE PRIORIZACIÓN"/>
    <s v="TI Desarrollo, TI Arquitectura, Ger. Riesgo (fraude)"/>
    <s v="Técnica"/>
    <s v="Transversal"/>
    <s v="📊 Negocio🔴 Riesgo"/>
    <m/>
    <s v="Transversal (Infraestructura)"/>
    <s v="Transversal"/>
    <s v="Caché Redis + auditoría aplica a todos los servicios"/>
    <s v="Redis / GCP Caché"/>
    <s v="OSB, FICO, FlexCube"/>
    <s v="Integración / Performance"/>
    <s v="Datos (Caché) + Auditoría"/>
    <s v="GCP"/>
    <s v="Redis, BD Corporativa (auditoría/fraude)"/>
    <s v="—"/>
    <m/>
    <s v="Sin cambios"/>
  </r>
  <r>
    <s v="INI-27"/>
    <s v="Observabilidad y Base para Cuadro de Mando Integral"/>
    <s v="Levantamiento del estado actual de observabilidad de los +25 sistemas. Definición de métricas clave (disponibilidad, latencia, error rate, throughput) por componente. Diseño de la base del cuadro de mando integral E2E._x000a__x000a_[Delimitación de Scope] Esta iniciativa cubre SOLO el diseño y definición de métricas. La implementación de dashboards y trazas es parte de INI-28."/>
    <s v="Obtener visibilidad E2E del proceso de crédito que hoy no existe. Definir baseline de métricas para medir progreso de cada TO-BE. Identificar puntos ciegos en monitoreo actual."/>
    <n v="51551.569506726461"/>
    <x v="2"/>
    <x v="5"/>
    <s v="B1_x0009_🟢 Cuantitativo_x0009_Visibilidad E2E_x0009_Por primera vez se tendrá visión completa del flujo de crédito_x000a_B2_x0009_🟢 Cuantitativo_x0009_Baseline medible_x0009_Métricas AS-IS para comparar con cada TO-BE_x000a_B3_x0009_🟡 Cualitativo_x0009_Detección temprana_x0009_Alertas antes de que el usuario sienta la degradación"/>
    <s v="A1_x0009_Levantamiento de herramientas de monitoreo actuales_x0009_Qué se monitorea hoy, con qué herramientas, qué gaps hay_x000a_A2_x0009_Definición de métricas clave por componente_x0009_KPIs técnicos y de negocio por cada sistema_x000a_A3_x0009_Diseño del cuadro de mando integral_x0009_Dashboard que integre métricas de todos los componentes_x000a_A4_x0009_Implementación de alertas básicas_x0009_Reglas de alerta para métricas críticas"/>
    <s v="E1_x0009_Diagnóstico de observabilidad actual_x000a_E2_x0009_Catálogo de métricas clave por componente_x000a_E3_x0009_Diseño del cuadro de mando integral_x000a_E4_x0009_Alertas básicas configuradas"/>
    <s v="INI-12"/>
    <m/>
    <s v="INI-29 (Gobierno E2E para definir qué medir)_x000a__x000a_🔗 DEPENDENCIAS CRUZADAS (Téc→Func): INI-12 (Gobierno funcional para definir qué medir)."/>
    <s v="INI-29 (Gobierno E2E para definir qué medir)"/>
    <s v="PENDIENTE EN CASO DE PRIORIZACIÓN"/>
    <s v="TI Operaciones, TI Arquitectura"/>
    <s v="Técnica"/>
    <s v="Transversal"/>
    <s v="📊 Negocio"/>
    <m/>
    <s v="Transversal (Observabilidad)"/>
    <s v="Transversal"/>
    <s v="Cuadro de mando integral aplica a todo el flujo"/>
    <s v="BigQuery / GCP Analytics"/>
    <s v="Cloud Monitoring, Looker"/>
    <s v="Observabilidad"/>
    <s v="Observabilidad / Monitoreo"/>
    <s v="GCP"/>
    <s v="Cloud Monitoring, Dashboards, alertas"/>
    <s v="—"/>
    <s v="🟡 DELIMITADA: Solo diseño y definición de métricas. No incluye implementación de dashboards (→ INI-28)."/>
    <s v="Delimitada"/>
  </r>
  <r>
    <s v="INI-28"/>
    <s v="Trazabilidad E2E con OpenTelemetry + Dashboards + CMDB"/>
    <s v="Implementación de OpenTelemetry para trazas distribuidas E2E cubriendo GCP y legacy (OCI/on-premise). Dashboards operativos y de negocio. Actualización de CMDB con inventario real de servicios."/>
    <s v="Lograr trazabilidad completa desde solicitud hasta respuesta cruzando todos los componentes. Crear dashboards accionables. Mantener CMDB actualizada."/>
    <n v="58941.704035874427"/>
    <x v="2"/>
    <x v="5"/>
    <s v="B1_x0009_🟢 Cuantitativo_x0009_Trazabilidad E2E_x0009_Cada solicitud se puede rastrear de punta a punta_x000a_B2_x0009_🟢 Cuantitativo_x0009_CMDB actualizada_x0009_Inventario real de servicios como fuente de verdad_x000a_B3_x0009_🟡 Cualitativo_x0009_Diagnóstico rápido_x0009_Tiempo de resolución de incidentes reducido significativamente"/>
    <s v="A1_x0009_Implementación de OpenTelemetry en componentes GCP_x0009_Instrumentación de microservicios y Camel_x000a_A2_x0009_Instrumentación de componentes legacy_x0009_Agentes/exporters para OCI, OSB, Siebel_x000a_A3_x0009_Desarrollo de dashboards operativos y de negocio_x0009_Grafana/Cloud Monitoring con métricas técnicas y funcionales_x000a_A4_x0009_Actualización de CMDB_x0009_Inventario completo de servicios, dependencias, owners"/>
    <s v="E1_x0009_OpenTelemetry desplegado en GCP y legacy_x000a_E2_x0009_Dashboards operativos y de negocio_x000a_E3_x0009_CMDB actualizada_x000a_E4_x0009_Documentación de instrumentación"/>
    <s v="INI-09, INI-24, INI-27"/>
    <m/>
    <s v="INI-27 (Observabilidad base), INI-24 (Camel para instrumentar)_x000a__x000a_🔗 DEPENDENCIAS CRUZADAS (Téc→Func): INI-09 (Define las 5 etapas y eventos a trazar)._x000a_[Dependencia] INI-27 (diseño métricas y cuadro de mando) debe completarse antes de implementar OpenTelemetry."/>
    <s v="INI-27 (Observabilidad base), INI-24 (Camel para instrumentar)"/>
    <s v="PENDIENTE EN CASO DE PRIORIZACIÓN"/>
    <s v="TI Operaciones, TI Desarrollo, TI Arquitectura"/>
    <s v="Técnica"/>
    <s v="Transversal"/>
    <s v="📊 Negocio"/>
    <m/>
    <s v="Transversal (Observabilidad)"/>
    <s v="Transversal"/>
    <s v="Trazabilidad E2E aplica a todas las etapas"/>
    <s v="OpenTelemetry / GCP Observability"/>
    <s v="Todos los componentes"/>
    <s v="Observabilidad"/>
    <s v="Observabilidad / Trazabilidad"/>
    <s v="GCP + OCI"/>
    <s v="OpenTelemetry, CMDB, trace E2E"/>
    <s v="—"/>
    <s v="🟡 DEPENDENCIA: Requiere INI-27 completada. Implementación OpenTelemetry + dashboards + CMDB."/>
    <s v="Dependencia agregada"/>
  </r>
  <r>
    <s v="INI-30"/>
    <s v="Fortalecer gestion de Proveedores (FICO, Oracle, Sonda, Experian)"/>
    <s v="Negociación y formalización de SLAs con proveedores críticos: FICO (motor), Oracle (BD, bus), Sonda (operación), Experian (bureau). Definición de penalties, tiempos de respuesta y escalamiento."/>
    <s v="Establecer compromisos contractuales de disponibilidad y tiempos de respuesta. Crear mecanismo formal de escalamiento. Reducir dependencia de proveedores sin gobierno."/>
    <n v="33905.829596412557"/>
    <x v="1"/>
    <x v="5"/>
    <s v="B1_x0009_🟢 Cuantitativo_x0009_SLAs medibles_x0009_Compromisos de disponibilidad con penalties contractuales_x000a_B2_x0009_🟡 Cualitativo_x0009_Escalamiento formal_x0009_Ruta clara cuando un proveedor incumple"/>
    <s v="A1_x0009_Revisión de contratos actuales_x0009_Identificar qué SLAs existen y cuáles faltan_x000a_A2_x0009_Definición de métricas de SLA por proveedor_x0009_Disponibilidad, tiempo de respuesta, tiempo de resolución_x000a_A3_x0009_Negociación con proveedores_x0009_Nuevos SLAs con penalties y escalamiento_x000a_A4_x0009_Implementación de monitoreo de SLAs_x0009_Dashboard de cumplimiento de SLAs"/>
    <s v="E1_x0009_Diagnóstico de SLAs actuales_x000a_E2_x0009_Contratos de SLA firmados por proveedor_x000a_E3_x0009_Dashboard de monitoreo de SLAs"/>
    <s v="INI-12, INI-13"/>
    <s v="Área Legal/Contratos"/>
    <s v="INI-29 (Gobierno E2E), Área Legal/Contratos_x000a__x000a_🔗 DEPENDENCIAS CRUZADAS (Téc→Func): INI-12 (Gobierno funcional); INI-13 (Resiliencia — define SLAs esperados)."/>
    <s v="INI-29 (Gobierno E2E), Área Legal/Contratos"/>
    <s v="PENDIENTE EN CASO DE PRIORIZACIÓN"/>
    <s v="Ger. TI, Área Legal, Proveedores"/>
    <s v="Técnica"/>
    <s v="Transversal"/>
    <s v=" Gobierno"/>
    <m/>
    <s v="Transversal (Gobierno)"/>
    <s v="Transversal"/>
    <s v="Gestión de proveedores transversal"/>
    <s v="Gobierno / Proceso (no aplicativo)"/>
    <s v="FICO (proveedor), Oracle, Sonda"/>
    <s v="Gobierno y Operación"/>
    <s v="Gobierno (proveedores)"/>
    <s v="N/A (organizacional)"/>
    <s v="SLAs FICO, Oracle, Sonda, Experian"/>
    <s v="—"/>
    <s v="🟢 OK: Separada. CON QUIÉN escalar (SLAs proveedores)."/>
    <s v="Sin cambios"/>
  </r>
  <r>
    <s v="INI-31"/>
    <s v="Fortalecer Runbooks + DRP + Backups de Personas Clave"/>
    <s v="Documentación de runbooks operativos para cada componente crítico. Plan de recuperación ante desastres (DRP). Formación de backups para personas clave con conocimiento exclusivo (bus factor)."/>
    <s v="Eliminar dependencia de personas únicas (bus factor). Documentar procedimientos de operación y recuperación. Garantizar continuidad operativa."/>
    <n v="13071.748878923767"/>
    <x v="1"/>
    <x v="5"/>
    <s v="B1_x0009_🟡 Cualitativo_x0009_Eliminación bus factor_x0009_Conocimiento documentado, no en cabezas individuales_x000a_B2_x0009_🟡 Cualitativo_x0009_Continuidad operativa_x0009_DRP probado para escenarios de falla catastrófica_x000a_B3_x0009_🟢 Cuantitativo_x0009_Reducción tiempo resolución_x0009_Runbooks aceleran resolución de incidentes"/>
    <s v="A1_x0009_Identificación de personas clave y conocimiento exclusivo_x0009_Mapear quién sabe qué y qué pasa si no está_x000a_A2_x0009_Desarrollo de runbooks por componente_x0009_Procedimientos paso a paso para operación y recuperación_x000a_A3_x0009_Diseño y prueba de DRP_x0009_Plan de recuperación ante desastres con simulacro_x000a_A4_x0009_Programa de formación de backups_x0009_Capacitación cruzada para eliminar dependencias"/>
    <s v="E1_x0009_Mapa de personas clave y conocimiento crítico_x000a_E2_x0009_Runbooks por componente_x000a_E3_x0009_DRP documentado y probado_x000a_E4_x0009_Plan de capacitación cruzada"/>
    <s v="INI-12, INI-13, INI-27"/>
    <m/>
    <s v="INI-29 (Gobierno E2E), INI-27 (Observabilidad para alimentar runbooks)_x000a__x000a_🔗 DEPENDENCIAS CRUZADAS (Téc→Func): INI-13 (Resiliencia operativa — define flujos de excepción a documentar)."/>
    <s v="INI-29 (Gobierno E2E), INI-27 (Observabilidad para alimentar runbooks)"/>
    <s v="PENDIENTE EN CASO DE PRIORIZACIÓN"/>
    <s v="TI Operaciones, Sonda, RRHH (capacitación)"/>
    <s v="Técnica"/>
    <s v="Transversal"/>
    <s v=" Gobierno"/>
    <m/>
    <s v="Transversal (Gobierno)"/>
    <s v="Transversal"/>
    <s v="Runbooks, DRP, backup personas clave"/>
    <s v="Gobierno / Proceso (no aplicativo)"/>
    <s v="Todos los sistemas"/>
    <s v="Gobierno y Operación"/>
    <s v="Gobierno (contingencia)"/>
    <s v="N/A (organizacional)"/>
    <s v="Runbooks, DRP, backups personas clave"/>
    <s v="—"/>
    <s v="🟢 OK: Separada. CÓMO hacerlo (runbooks + DRP + backups personas)."/>
    <s v="Sin cambios"/>
  </r>
  <r>
    <s v="INI-32"/>
    <s v="Modernización Tecnológica (Oracle, WebLogic, Java) + Decomiso Infraestructura Legacy"/>
    <s v="Actualización de componentes obsoletos: Oracle 12 → versión soportada, WebLogic → containerizado, Java 8 → versión LTS. Migración de servicios legacy a stack moderno en GCP._x000a__x000a_[Delimitación OSB — Post análisis duplicidad] La migración lógica de servicios fuera de OSB y la orquestación con Camel es responsabilidad de INI-24. INI-32 se encarga del decomiso de la INFRAESTRUCTURA donde corre OSB (WebLogic, licencias Oracle) una vez que INI-24 haya completado la migración. Secuencia: INI-23 (inventario) → INI-24 (Camel + migración lógica) → INI-32 (apagado infra Oracle/WebLogic asociada a OSB)."/>
    <s v="Romper la cadena de obsolescencia tecnológica. Habilitar escalabilidad horizontal. Reducir costos de licenciamiento Oracle. (Priorizar esta modernizacion, que tengo que actualizar primero, etc)"/>
    <n v="145632.28699551566"/>
    <x v="2"/>
    <x v="5"/>
    <s v="B1_x0009_🟢 Cuantitativo_x0009_Reducción costos licenciamiento_x0009_Menos componentes Oracle = menos licencias_x000a_B2_x0009_🟢 Cuantitativo_x0009_Escalabilidad_x0009_Containers permiten escalar horizontalmente_x000a_B3_x0009_🟡 Cualitativo_x0009_Soporte vigente_x0009_Todos los componentes con soporte del fabricante"/>
    <s v="A1_x0009_Inventario de componentes obsoletos_x0009_Versión actual, soporte, riesgo, alternativa_x000a_A2_x0009_Plan de actualización priorizado_x0009_Orden de migración por criticidad y complejidad_x000a_A3_x0009_Migración de Oracle 12 + WebLogic_x0009_Actualizar o reemplazar por alternativas containerizadas_x000a_A4_x0009_Migración de Java 8_x0009_Actualizar aplicaciones a Java LTS vigente_x000a_A5_x0009_Eliminación definitiva de OSB_x0009_Post-migración completa a Camel"/>
    <s v="E1_x0009_Inventario de obsolescencia con riesgos_x000a_E2_x0009_Plan de modernización priorizado_x000a_E3_x0009_Componentes actualizados/reemplazados_x000a_E4_x0009_Acta de decomisión de componentes legacy"/>
    <s v="INI-12, INI-24, INI-35"/>
    <m/>
    <s v="INI-24 (Camel operativo para eliminar OSB), INI-35 (Microservicios para absorber servicios del bus)_x000a__x000a_🔗 DEPENDENCIAS CRUZADAS (Téc→Func): INI-12 (Gobierno funcional para coordinar eliminación obsolescencia)."/>
    <s v="INI-24 (Camel operativo para eliminar OSB), INI-35 (Microservicios para absorber servicios del bus)"/>
    <s v="PENDIENTE EN CASO DE PRIORIZACIÓN"/>
    <s v="TI Infraestructura, TI Arquitectura, Sonda, Oracle"/>
    <s v="Técnica"/>
    <s v="Transversal"/>
    <s v="🔴 Riesgo🟡 Canal 🟢 Producto"/>
    <m/>
    <s v="Transversal (Infraestructura)"/>
    <s v="Transversal"/>
    <s v="Modernización tecnológica aplica a todo"/>
    <s v="Infraestructura OCI/OKE"/>
    <s v="FICO, OSB, WebLogic, Oracle DB"/>
    <s v="Infraestructura"/>
    <s v="Infraestructura"/>
    <s v="OCI Santiago / OKE"/>
    <s v="WebLogic 11g/10.3.6, Oracle DB 12, pods OKE"/>
    <s v="—"/>
    <s v="🟡 DELIMITADA: Se retira 'Eliminación de OSB' como entregable lógico (→INI-24). Mantiene decomiso INFRAESTRUCTURA (WebLogic, licencias) post-migración Camel."/>
    <s v="Delimitada (sin OSB lógico)"/>
  </r>
  <r>
    <s v="INI-33"/>
    <s v="Herramienta de Parametrización de Reglas de Negocio + IA"/>
    <s v="[Componente Técnico — ex INI-33] Capa de parametrización para que gerencias de negocio modifiquen reglas del motor sin TI. Integración de IA para análisis de impacto ante cambios de reglas. Habilitada por separación de Jobs (INI-20)._x000a__x000a_[Componente Herramienta — ex INI-45] INI-11 define QUÉ reglas parametrizar. INI-33 propone +IA. Ninguna aborda LA HERRAMIENTA para que Riesgo modifique reglas sin TI. Hoy cualquier cambio requiere Ventiv/FICO + deploy + ventana."/>
    <s v="Reducir time-to-market de cambios de reglas de semanas a horas. Empoderar a negocio para gestionar sus reglas. Usar IA para predecir impacto de cambios."/>
    <n v="45511.210762331837"/>
    <x v="2"/>
    <x v="5"/>
    <s v="B1_x0009_🟢 Cuantitativo_x0009_Time-to-market de reglas_x0009_De semanas a horas para cambios de parámetros_x000a_B2_x0009_🟡 Cualitativo_x0009_Empoderamiento de negocio_x0009_Riesgo y Producto cambian sus reglas sin depender de TI_x000a_B3_x0009_🟡 Cualitativo_x0009_Análisis de impacto con IA_x0009_Gemini predice efecto de cambios antes de implementar"/>
    <s v="A1_x0009_Diseño de capa de parametrización_x0009_Interfaz para que negocio modifique reglas_x000a_A2_x0009_Integración con Jobs separados_x0009_Cada Job expone sus parámetros configurables_x000a_A3_x0009_Integración con Gemini_x0009_IA para análisis de impacto de cambios de reglas_x000a_A4_x0009_Desarrollo de interfaz de usuario_x0009_UI para gerencias de negocio_x000a_A5_x0009_Capacitación a usuarios de negocio_x0009_Entrenamiento en uso de parametrización"/>
    <s v="E1_x0009_Capa de parametrización implementada_x000a_E2_x0009_Integración con Gemini operativa_x000a_E3_x0009_UI de gestión de reglas para negocio_x000a_E4_x0009_Manual y capacitación de usuarios"/>
    <s v="INI-01, INI-11, INI-18, INI-20"/>
    <s v="Acceso a Vertex AI/Gemini"/>
    <s v="INI-20 (Jobs separados), INI-18 (FICO v7 estable), INI-19 (v4 apagada), Acceso a Vertex AI/Gemini_x000a__x000a_🔗 DEPENDENCIAS CRUZADAS (Téc→Func): INI-11 (Desacople lógica negocio — capa funcional de reglas); INI-01 (Pre-evaluación — reglas FICO a parametrizar)."/>
    <s v="INI-20 (Jobs separados), INI-18 (FICO v7 estable), INI-19 (v4 apagada), Acceso a Vertex AI/Gemini"/>
    <s v="PENDIENTE EN CASO DE PRIORIZACIÓN"/>
    <s v="Ger. Riesgo, Ger. Producto, TI Desarrollo, TI Datos (IA)"/>
    <s v="Técnica"/>
    <s v="Generación de Oferta"/>
    <s v="📊 Negocio🔴 Riesgo"/>
    <m/>
    <s v="Evaluación"/>
    <s v="Evaluación"/>
    <s v="Parametrización reglas + IA → reglas del motor en evaluación"/>
    <s v="Motor FICO (DMPS/Blaze)"/>
    <s v="Blaze Advisor, IA/ML"/>
    <s v="Motor de Decisión + IA"/>
    <s v="Lógica de Negocio"/>
    <s v="OCI/OKE + GCP (IA)"/>
    <s v="Blaze Advisor v7, Vertex AI (futuro), 120+ reglas"/>
    <s v="—"/>
    <s v="✅ FUSIÓN: Absorbe INI-45 (Herramienta parametrización). Ahora cubre capa técnica + herramienta + IA. INI-45 eliminada. Depende de INI-11."/>
    <s v="Fusionada (absorbió INI-45)"/>
  </r>
  <r>
    <s v="INI-34"/>
    <s v="Base Corporativa (MDM) — Maestro Único de Datos"/>
    <s v="BD Corporativa en GCP que absorbe Base de Aprobados, MenuAndes y otras fuentes dispersas. Modelo MDM como fuente única de verdad. Empieza en TO-BE 2, se consolida en TO-BE 3."/>
    <s v="Eliminar dispersión de datos entre múltiples fuentes. Crear maestro de datos único para clientes, productos y riesgo. Habilitar gobierno de datos con linaje y calidad."/>
    <n v="133964.12556053812"/>
    <x v="2"/>
    <x v="5"/>
    <s v="B1_x0009_🟢 Cuantitativo_x0009_Fuente única de verdad_x0009_Un solo lugar para datos de cliente, producto, riesgo_x000a_B2_x0009_🟢 Cuantitativo_x0009_Eliminación de inconsistencias_x0009_No más datos distintos entre Base Aprobados, MenuAndes, etc._x000a_B3_x0009_🟡 Cualitativo_x0009_Gobierno de datos_x0009_Linaje, calidad y ownership formalizados"/>
    <s v="A1_x0009_Inventario de fuentes de datos dispersas_x0009_Base Aprobados, MenuAndes, FlexCube, etc._x000a_A2_x0009_Diseño del modelo MDM_x0009_Entidades maestras, relaciones, reglas de calidad_x000a_A3_x0009_Migración de Base de Aprobados_x0009_ETL + validación de datos migrados_x000a_A4_x0009_Absorción de MenuAndes_x0009_Consolidación en BD Corporativa_x000a_A5_x0009_Implementación de gobierno de datos_x0009_Linaje, calidad, ownership, métricas"/>
    <s v="E1_x0009_Inventario de fuentes de datos_x000a_E2_x0009_Modelo MDM documentado_x000a_E3_x0009_BD Corporativa desplegada en GCP_x000a_E4_x0009_Migración de Base de Aprobados completada_x000a_E5_x0009_Framework de gobierno de datos"/>
    <s v="ALT-01, INI-12"/>
    <s v="Decisión de , Acceso a GCP (CloudSQL/Spanner)"/>
    <s v="INI-29 (Gobierno E2E), Decisión de ALT-01 (Base de Aprobados), Acceso a GCP (CloudSQL/Spanner)_x000a__x000a_🔗 DEPENDENCIAS CRUZADAS (Téc→Func): INI-12 (Gobierno funcional para MDM)."/>
    <s v="INI-29 (Gobierno E2E), Decisión de ALT-01 (Base de Aprobados), Acceso a GCP (CloudSQL/Spanner)"/>
    <s v="PENDIENTE EN CASO DE PRIORIZACIÓN"/>
    <s v="TI Datos, Ger. Riesgo, Ger. Clientes, Ger. Producto"/>
    <s v="Técnica"/>
    <s v="Punto de Entrada"/>
    <s v="🔴 Riesgo 🟢 Producto 🟣 Cliente"/>
    <m/>
    <s v="Punto de Entrada → Generación de Oferta"/>
    <s v="Punto de Entrada → Generación de Oferta"/>
    <s v="MDM alimenta datos maestros para todo el flujo, concentrado al inicio"/>
    <s v="MenuAndes → BD Corporativa (MDM)"/>
    <s v="FlexCube, Siebel, Base Aprobados"/>
    <s v="Datos Maestros (MDM)"/>
    <s v="Datos (Maestro)"/>
    <s v="OCI → GCP (migración)"/>
    <s v="MenuAndes DB, BD Corporativa (nueva), FlexCube, Siebel"/>
    <s v="—"/>
    <m/>
    <s v="Sin cambios"/>
  </r>
  <r>
    <s v="INI-35"/>
    <s v="Microservicios por Dominio (ms-cliente, ms-producto, ms-riesgo, ms-cobranza)"/>
    <s v="4 microservicios en GCP: ms-cliente 🟣 (EAI-074, 106, 110, 105, 080), ms-producto 🟢 (EAI-005, 122, 055), ms-riesgo 🔴 (EAI-003, 004, 138), ms-cobranza 🟡 (EAI-079). Cada uno absorbe servicios EAI del bus."/>
    <s v="Descomponer el monolito del bus en microservicios por dominio con ownership por gerencia. Permitir despliegue y escalamiento independiente. Eliminar dependencia de OSB."/>
    <n v="193156.9506726457"/>
    <x v="2"/>
    <x v="5"/>
    <s v="B1_x0009_🟢 Cuantitativo_x0009_Despliegue independiente_x0009_Cada microservicio se despliega sin afectar a los demás_x000a_B2_x0009_🟢 Cuantitativo_x0009_Escalamiento por dominio_x0009_Se escala solo el dominio que lo necesita_x000a_B3_x0009_🟡 Cualitativo_x0009_Ownership claro_x0009_Cada gerencia es dueña de su microservicio"/>
    <s v="A1_x0009_Diseño de arquitectura de microservicios_x0009_4 MS por dominio, contratos, comunicación_x000a_A2_x0009_Desarrollo de ms-cliente_x0009_Absorbe EAI-074, 106, 110, 105, 080_x000a_A3_x0009_Desarrollo de ms-producto_x0009_Absorbe EAI-005, 122, 055_x000a_A4_x0009_Desarrollo de ms-riesgo_x0009_Absorbe EAI-003, 004, 138_x000a_A5_x0009_Desarrollo de ms-cobranza_x0009_Absorbe EAI-079_x000a_A6_x0009_Migración de consumidores del bus a microservicios_x0009_Redirigir tráfico progresivamente"/>
    <s v="E1_x0009_Arquitectura de microservicios documentada_x000a_E2_x0009_4 microservicios desplegados en GCP_x000a_E3_x0009_Contratos API documentados por MS_x000a_E4_x0009_Plan de migración de consumidores del bus_x000a_E5_x0009_Reporte de pruebas de carga por MS"/>
    <s v="INI-12, INI-23, INI-24"/>
    <m/>
    <s v="INI-24 (Camel como orquestador), INI-23 (inventario servicios bus), INI-29 (Gobierno E2E)_x000a__x000a_🔗 DEPENDENCIAS CRUZADAS (Téc→Func): INI-12 (Gobierno funcional — define dominios y owners)."/>
    <s v="INI-24 (Camel como orquestador), INI-23 (inventario servicios bus), INI-29 (Gobierno E2E)"/>
    <s v="PENDIENTE EN CASO DE PRIORIZACIÓN"/>
    <s v="TI Desarrollo, TI Arquitectura, Ger. Clientes, Ger. Producto, Ger. Riesgo, Ger. Cobranza"/>
    <s v="Técnica"/>
    <s v="Transversal"/>
    <s v="🔴 Riesgo 🟢 Producto🟣 Cliente 🟡 Canal"/>
    <m/>
    <s v="Transversal (Arquitectura)"/>
    <s v="Transversal"/>
    <s v="Microservicios por dominio aplican a todo el flujo"/>
    <s v="GCP Microservicios (nuevo)"/>
    <s v="OSB (reemplazado), FICO, FlexCube, MenuAndes"/>
    <s v="Microservicios GCP"/>
    <s v="Lógica de Negocio (nuevo)"/>
    <s v="GCP (GKE)"/>
    <s v="ms-cliente, ms-producto, ms-riesgo, ms-cobranza"/>
    <s v="EAI-074,106,110,105,080 (cliente), EAI-005,122,055 (producto), EAI-003,004,138 (riesgo), EAI-079 (cobranza)"/>
    <m/>
    <s v="Sin cambios"/>
  </r>
  <r>
    <s v="INI-36"/>
    <s v="Observabilidad Operativa del Motor FICO (Estabilización AS-IS)"/>
    <s v="Paquete de mejoras de observabilidad sobre el motor FICO On Premise y sus componentes activos (Kafka, Ignite) que seguirán operando durante TO-BE 1 y TO-BE 2 (mínimo 12-18 meses). Agrupa 7 ARIs despriorizadas que, en conjunto, eliminan la operación a ciegas del motor: habilitar GC logs en producción (ARI-01), alertas automáticas en Kafka ante pérdida de consumidores (ARI-02), corregir health check que reporta falsos OK ante errores 504 (ARI-03), desencapsular los 134.446 errores genéricos &quot;Error Motor FICO&quot; para exponer causas reales (ARI-04), habilitar acceso del equipo funcional a Elasticsearch/Grafana en producción (ARI-10), corregir sampling rate que monitorea el 100% de transacciones generando sobrecosto de memoria (ARI-12), y habilitar métricas de Apache Ignite para monitoreo de la caché distribuida (ARI-56). Sin estas acciones, la estabilización del TO-BE 1 se ejecutará sin capacidad diagnóstica."/>
    <s v="Dotar al equipo técnico y funcional de capacidad diagnóstica real sobre el motor FICO durante la transición al TO-BE. Reducir el tiempo medio de detección de incidentes (MTTD) de horas a minutos. Eliminar los 134.446 errores genéricos transformándolos en información accionable. Habilitar al equipo de negocio para monitorear el proceso sin depender de TI."/>
    <n v="126614.34977578475"/>
    <x v="2"/>
    <x v="5"/>
    <s v="B1_x0009_🟢 Cuantitativo_x0009_Reducción MTTD_x0009_De horas a minutos en detección de degradación del motor FICO_x000a_B2_x0009_🟢 Cuantitativo_x0009_Errores desencapsulados_x0009_134.446 errores genéricos se transforman en causas raíz accionables_x000a_B3_x0009_🟢 Cuantitativo_x0009_Reducción sobrecosto memoria_x0009_Sampling rate corregido libera recursos JVM (hoy monitorea 100%)_x000a_B4_x0009_🟡 Cualitativo_x0009_Autonomía funcional_x0009_Equipo de negocio con acceso directo a dashboards sin depender de TI_x000a_B5_x0009_🟡 Cualitativo_x0009_Base para INI-27 e INI-28_x0009_Prerequisito para observabilidad E2E y trazabilidad OpenTelemetry"/>
    <s v="A1_x0009_Habilitar GC logs en JVM FICO producción (ARI-01)_x0009_Configurar -Xloggc con rotación en todos los nodos FICO ONP_x000a_A2_x0009_Configurar alertas Kafka (ARI-02)_x0009_Alertas automáticas ante consumer lag &gt;umbral y pérdida de consumidores_x000a_A3_x0009_Corregir health check FICO (ARI-03)_x0009_Modificar endpoint /health para reflejar estado real ante 504/timeout_x000a_A4_x0009_Desencapsular errores genéricos FICO (ARI-04)_x0009_Mapear códigos internos, exponer causa raíz en logs y dashboards_x000a_A5_x0009_Habilitar acceso funcional a Elasticsearch/Grafana (ARI-10)_x0009_Crear roles read-only, dashboards de negocio, capacitación_x000a_A6_x0009_Corregir sampling rate producción ONP (ARI-12)_x0009_Ajustar de 100% a 5-10% con muestreo representativo_x000a_A7_x0009_Habilitar métricas Apache Ignite (ARI-56)_x0009_Activar JMX/exporters para caché hits, misses, latencia, nodos activos"/>
    <s v="E1_x0009_GC logs habilitados y rotación configurada en nodos FICO_x000a_E2_x0009_Alertas Kafka operativas con umbrales definidos_x000a_E3_x0009_Health check corregido y validado con pruebas de fallo_x000a_E4_x0009_Mapa de errores FICO desencapsulados (código → causa raíz)_x000a_E5_x0009_Roles y dashboards funcionales en Grafana/Elasticsearch_x000a_E6_x0009_Sampling rate ajustado y validado en producción_x000a_E7_x0009_Métricas Ignite visibles en dashboards operativos"/>
    <s v="INI-12, INI-27, INI-28"/>
    <s v="Accesos a servidores FICO ONP (producción), Acceso admin a Kafka, Acceso admin a Elasticsearch/Grafana, Acceso a configuración Apache Ignite. Complementa  e . ARIs origen: ARI-01, ARI-02, ARI-03, ARI-04, ARI-10, ARI-12, ARI-56"/>
    <s v="Accesos a servidores FICO ONP (producción), Acceso admin a Kafka, Acceso admin a Elasticsearch/Grafana, Acceso a configuración Apache Ignite. Complementa INI-27 (Observabilidad base) e INI-28 (Trazabilidad E2E). ARIs origen: ARI-01, ARI-02, ARI-03, ARI-04, ARI-10, ARI-12, ARI-56_x000a__x000a_🔗 DEPENDENCIAS CRUZADAS (Téc→Func): INI-12 (Gobierno funcional para definir qué monitorear)."/>
    <s v="Accesos a servidores FICO ONP (producción), Acceso admin a Kafka, Acceso admin a Elasticsearch/Grafana, Acceso a configuración Apache Ignite. Complementa INI-27 (Observabilidad base) e INI-28 (Trazabilidad E2E). ARIs origen: ARI-01, ARI-02, ARI-03, ARI-04, ARI-10, ARI-12, ARI-56"/>
    <s v="PENDIENTE EN CASO DE PRIORIZACIÓN"/>
    <s v="TI Operaciones (ejecución), Sonda (infra ONP), Proveedor FICO/Ventiv (config motor), Ger. Riesgo (validación funcional)"/>
    <s v="Técnica (desde ARIs)"/>
    <s v="Transversal"/>
    <s v="📊 Negocio🔴 Riesgo"/>
    <m/>
    <s v="Evaluación (Observabilidad)"/>
    <s v="Evaluación"/>
    <s v="Observabilidad específica del motor FICO (evaluación)"/>
    <s v="Motor FICO (DMPS/Blaze)"/>
    <s v="Cloud Monitoring, Kafka"/>
    <s v="Observabilidad"/>
    <s v="Observabilidad / Monitoreo"/>
    <s v="OCI + GCP"/>
    <s v="FICO DMPS, Kafka, health check, GC logs, thread dumps"/>
    <s v="—"/>
    <m/>
    <s v="Sin cambios"/>
  </r>
  <r>
    <s v="INI-37"/>
    <s v="Estabilización de Sincronización de Datos (MenuAndes, FlexCube, Siebel EIM)"/>
    <s v="Paquete de correcciones a los procesos batch de sincronización de datos que hoy generan 12.493 knockouts falsos por datos inexistentes, incompletos o desincronizados entre MenuAndes, FlexCube y Siebel. Agrupa 7 ARIs despriorizadas: encadenar jobs Siebel EIM en Control-M respetando dependencias (ARI-29), implementar lógica de delta en MenuAndes para empresas (ARI-30), loteo/chunking en shells FlexCube (ARI-31), condicionar sincronización FlexCube al EOD (ARI-32), separar shells monolíticas FlexCube en etapas independientes (ARI-33), elaborar plan de desacoplamiento de MenuAndes (ARI-39), y documentar acoplamiento tabla RP_CONTAR con FlexCube (ARI-41). Esta iniciativa es el puente operativo hasta que la BD Corporativa (INI-34) absorba estas fuentes en TO-BE 2."/>
    <s v="Reducir los 12.493 knockouts falsos por datos desincronizados que hoy rechazan clientes con oferta válida. Estabilizar los procesos batch de carga que operan sin orden de dependencia ni control de errores. Generar el plan de desacoplamiento de MenuAndes como input directo para el diseño de la BD Corporativa (INI-34)."/>
    <n v="52708.520179372194"/>
    <x v="2"/>
    <x v="6"/>
    <s v="B1_x0009_🟢 Cuantitativo_x0009_Reducción knockouts falsos_x0009_De 12.493 knockouts por datos a &lt;1.000 (reducción &gt;90% estimada)_x000a_B2_x0009_🟢 Cuantitativo_x0009_Recuperación de negocio_x0009_Clientes rechazados falsamente que ahora podrán acceder a crédito_x000a_B3_x0009_🟢 Cuantitativo_x0009_Reducción MTTR sincronización_x0009_Shells separadas permiten re-ejecución parcial (hoy es todo o nada)_x000a_B4_x0009_🟡 Cualitativo_x0009_Input para BD Corporativa_x0009_Plan de desacoplamiento MenuAndes = diseño base de INI-34_x000a_B5_x0009_🟡 Cualitativo_x0009_Documentación de dependencias ocultas_x0009_RP_CONTAR/FlexCube documentado para migración futura"/>
    <s v="A1_x0009_Encadenar jobs Siebel EIM en Control-M (ARI-29)_x0009_Forzar secuencia: Empresa → Sucursal → Persona → Afiliación_x000a_A2_x0009_Implementar lógica de delta en MenuAndes (ARI-30)_x0009_Detección de cambios para procesar solo deltas vs. carga completa_x000a_A3_x0009_Implementar loteo/chunking en shells FlexCube (ARI-31)_x0009_Procesamiento por bloques para volúmenes variables sin pérdida_x000a_A4_x0009_Condicionar sincronización FlexCube al EOD (ARI-32)_x0009_Dependencia explícita con cierre de día y proceso de pagos_x000a_A5_x0009_Separar shells monolíticas FlexCube (ARI-33)_x0009_Descomponer en etapas: depuración → carga → validación (re-ejecutables)_x000a_A6_x0009_Plan de desacoplamiento MenuAndes (ARI-39)_x0009_Documentar dependencias, diseñar migración a BD Corporativa_x000a_A7_x0009_Documentar acoplamiento RP_CONTAR/FlexCube (ARI-41)_x0009_Mapear trigger + webservice + impacto en datos maestros"/>
    <s v="E1_x0009_Jobs Siebel EIM encadenados en Control-M con secuencia correcta_x000a_E2_x0009_Lógica de delta implementada en MenuAndes para Empresas_x000a_E3_x0009_Shells FlexCube con loteo/chunking_x000a_E4_x0009_Dependencia EOD configurada en Control-M_x000a_E5_x0009_Shells FlexCube separadas en etapas independientes_x000a_E6_x0009_Plan de desacoplamiento de MenuAndes (input para INI-34)_x000a_E7_x0009_Documentación técnica de acoplamiento RP_CONTAR/FlexCube"/>
    <s v="INI-12, INI-34"/>
    <s v="Acceso a Control-M (orquestador batch), Acceso a MenuAndes (código fuente shells), Acceso a FlexCube (shells de sincronización), Coordinación con equipo EOD. Input directo para . ARIs origen: ARI-29, ARI-30, ARI-31, ARI-32, ARI-33, ARI-39, ARI-41"/>
    <s v="Acceso a Control-M (orquestador batch), Acceso a MenuAndes (código fuente shells), Acceso a FlexCube (shells de sincronización), Coordinación con equipo EOD. Input directo para INI-34 (BD Corporativa MDM). ARIs origen: ARI-29, ARI-30, ARI-31, ARI-32, ARI-33, ARI-39, ARI-41_x000a__x000a_🔗 DEPENDENCIAS CRUZADAS (Téc→Func): INI-12 (Gobierno funcional para coordinar sincronización)."/>
    <s v="Acceso a Control-M (orquestador batch), Acceso a MenuAndes (código fuente shells), Acceso a FlexCube (shells de sincronización), Coordinación con equipo EOD. Input directo para INI-34 (BD Corporativa MDM). ARIs origen: ARI-29, ARI-30, ARI-31, ARI-32, ARI-33, ARI-39, ARI-41"/>
    <s v="PENDIENTE EN CASO DE PRIORIZACIÓN"/>
    <s v="TI Datos (owner), Sonda (ejecución batch), Ger. Riesgo (validación knockouts), Ger. Clientes (MenuAndes)"/>
    <s v="Técnica (desde ARIs)"/>
    <s v="Punto de Entrada"/>
    <s v="🟣 Cliente, 🟢 Producto, 🔴 Riesgo"/>
    <m/>
    <s v="Punto de Entrada → Generación de Oferta"/>
    <s v="Punto de Entrada → Generación de Oferta"/>
    <s v="Sincronización datos de entrada (MenuAndes, FlexCube, Siebel)"/>
    <s v="Jobs Batch / Control-M"/>
    <s v="MenuAndes, FlexCube, Siebel"/>
    <s v="Batch + Datos Maestros"/>
    <s v="Datos (ETL/Batch)"/>
    <s v="OCI Santiago"/>
    <s v="Jobs EIM, GITU, shells FlexCube, Control-M"/>
    <s v="—"/>
    <m/>
    <s v="Sin cambios"/>
  </r>
  <r>
    <s v="INI-38"/>
    <s v="Limpieza de Deuda Técnica y Servicios Sin Valor"/>
    <s v="Eliminación de configuraciones residuales y servicios sin valor que contaminan el monitoreo y consumen recursos innecesariamente. Agrupa 2 ARIs despriorizadas: limpiar configuración residual de Mambu dado de baja que genera 3.694 errores fantasma en el monitoreo (ARI-05), y verificar/eliminar invocaciones a servicios DUMMY (EAI-029, EAI-055, EAI-074) que consumen hilos y recursos sin aportar al flujo de crédito (ARI-06). Son quick wins de bajo esfuerzo que mejoran inmediatamente la señal/ruido del monitoreo."/>
    <s v="Eliminar 3.694 errores fantasma del monitoreo causados por sistema Mambu dado de baja. Liberar hilos y recursos consumidos por servicios DUMMY sin valor funcional. Mejorar ratio señal/ruido en logs y dashboards para que las alertas reales se detecten rápido."/>
    <n v="26632.286995515689"/>
    <x v="2"/>
    <x v="5"/>
    <s v="B1_x0009_🟢 Cuantitativo_x0009_Eliminación errores fantasma_x0009_3.694 errores Mambu eliminados del monitoreo_x000a_B2_x0009_🟢 Cuantitativo_x0009_Liberación de recursos_x0009_Hilos y CPU liberados por eliminar invocaciones DUMMY_x000a_B3_x0009_🟡 Cualitativo_x0009_Mejora señal/ruido_x0009_Dashboards muestran solo problemas reales, no residuos legacy"/>
    <s v="A1_x0009_Limpiar configuración Mambu (ARI-05)_x0009_Eliminar js-errorRoutingMambu y referencias asociadas en config FICO_x000a_A2_x0009_Identificar servicios DUMMY activos (ARI-06)_x0009_Verificar EAI-029, EAI-055, EAI-074: consumidores, volumetría, impacto_x000a_A3_x0009_Eliminar invocaciones DUMMY_x0009_Remover llamadas desde el flujo, validar que no hay dependencias ocultas_x000a_A4_x0009_Validar en QA y producción_x0009_Pruebas de regresión post-limpieza"/>
    <s v="E1_x0009_Configuración Mambu eliminada de FICO_x000a_E2_x0009_Análisis de servicios DUMMY con impacto documentado_x000a_E3_x0009_Invocaciones DUMMY eliminadas_x000a_E4_x0009_Reporte de pruebas de regresión post-limpieza"/>
    <s v="INI-12, INI-23, INI-27"/>
    <s v="Acceso a configuración FICO ONP, Acceso a configuración de flujos EAI en el bus. Complementa  e . ARIs origen: ARI-05, ARI-06"/>
    <s v="Acceso a configuración FICO ONP, Acceso a configuración de flujos EAI en el bus. Complementa INI-23 (Análisis Servicios Bus) e INI-27 (Observabilidad). ARIs origen: ARI-05, ARI-06_x000a__x000a_🔗 DEPENDENCIAS CRUZADAS (Téc→Func): INI-12 (Gobierno funcional para aprobar eliminación de servicios)."/>
    <s v="Acceso a configuración FICO ONP, Acceso a configuración de flujos EAI en el bus. Complementa INI-23 (Análisis Servicios Bus) e INI-27 (Observabilidad). ARIs origen: ARI-05, ARI-06"/>
    <s v="PENDIENTE EN CASO DE PRIORIZACIÓN"/>
    <s v="TI Desarrollo (ejecución), Ventiv/FICO (config motor), Sonda (despliegue)"/>
    <s v="Técnica (desde ARIs)"/>
    <s v="Generación de Oferta"/>
    <s v="🔴 Riesgo"/>
    <m/>
    <s v="Generación de Oferta + Evaluación"/>
    <s v="Generación de Oferta + Evaluación"/>
    <s v="Limpieza flujos EAI/FICO que operan en generación y evaluación"/>
    <s v="OSB (Bus de Integración)"/>
    <s v="FICO, servicios EAI, Siebel"/>
    <s v="Integración / Orquestación"/>
    <s v="Integración"/>
    <s v="OCI Santiago"/>
    <s v="OSB 11g, 14 servicios EAI, FICO"/>
    <s v="14 servicios EAI (limpiar flujos redundantes)"/>
    <m/>
    <s v="Sin cambios"/>
  </r>
  <r>
    <s v="INI-39"/>
    <s v="Contención de Vulnerabilidades Activas (APM Parásito + Ignite Sin Backup)"/>
    <s v="Resolución de 3 vulnerabilidades activas que seguirán existiendo durante todo TO-BE 1 y TO-BE 2: el agente Elastic APM inactivo que genera 12,57% del tráfico HTTP del DPC con 79,9% de errores — equivalente a 309.078 conexiones/hora desperdiciadas (ARI-53 bloqueo firewall IP principal, ARI-54 bloqueo IPs adicionales con RST continuos ~30/min), y Apache Ignite configurado con 0 backups (ARI-57) donde si un nodo cae se pierden TODOS los datos de caché distribuida. Son vulnerabilidades críticas que agravan cualquier incidente de degradación del motor."/>
    <s v="Eliminar el 12,57% de tráfico HTTP parásito generado por el agente APM inactivo (309.078 conexiones/hora). Cortar las ~30 conexiones/minuto con RST continuo hacia IPs que ya no responden. Configurar al menos 1 backup en Ignite para evitar pérdida total de caché ante caída de un nodo."/>
    <n v="76511.21076233183"/>
    <x v="2"/>
    <x v="5"/>
    <s v="B1_x0009_🟢 Cuantitativo_x0009_Reducción tráfico parásito_x0009_309.078 conexiones/hora eliminadas del DPC_x000a_B2_x0009_🟢 Cuantitativo_x0009_Recursos liberados_x0009_12,57% de capacidad HTTP devuelta al tráfico productivo_x000a_B3_x0009_🟢 Cuantitativo_x0009_Resiliencia Ignite_x0009_Caída de 1 nodo no pierde datos de caché (hoy pierde 100%)_x000a_B4_x0009_🟡 Cualitativo_x0009_Reducción superficie de fallo_x0009_Menos puntos de falla en cascada durante degradación"/>
    <s v="A1_x0009_Bloqueo firewall IP agente APM principal (ARI-53)_x0009_Regla en puertos 443 y 9243 hacia IP del agente inactivo_x000a_A2_x0009_Bloqueo firewall IPs adicionales con RST (ARI-54)_x0009_Identificar y bloquear IPs con rechazos continuos (~30/min)_x000a_A3_x0009_Validar reducción de tráfico post-bloqueo_x0009_Medición de red para confirmar eliminación de conexiones parásitas_x000a_A4_x0009_Configurar backup=1 en Apache Ignite (ARI-57)_x0009_Modificar configuración de caché para mantener 1 réplica por partición_x000a_A5_x0009_Prueba de resiliencia Ignite_x0009_Simular caída de nodo y verificar que los datos se mantienen"/>
    <s v="E1_x0009_Reglas de firewall aplicadas y documentadas_x000a_E2_x0009_Medición de red post-bloqueo (antes/después)_x000a_E3_x0009_Configuración Ignite con backup=1_x000a_E4_x0009_Reporte de prueba de resiliencia Ignite_x000a_E5_x0009_Documentación de vulnerabilidades cerradas"/>
    <s v="INI-12, INI-18, INI-28"/>
    <s v="Acceso a firewall de red (equipo seguridad/Sonda), Acceso a configuración Apache Ignite, Ventana de mantenimiento para cambio Ignite (requiere reinicio de cluster). Complementa  e . ARIs origen: ARI-53, ARI-54, ARI-57"/>
    <s v="Acceso a firewall de red (equipo seguridad/Sonda), Acceso a configuración Apache Ignite, Ventana de mantenimiento para cambio Ignite (requiere reinicio de cluster). Complementa INI-18 (FICO v7 Estabilización) e INI-28 (Trazabilidad E2E). ARIs origen: ARI-53, ARI-54, ARI-57_x000a__x000a_🔗 DEPENDENCIAS CRUZADAS (Téc→Func): INI-12 (Gobierno funcional para aprobar ventanas de mantenimiento)."/>
    <s v="Acceso a firewall de red (equipo seguridad/Sonda), Acceso a configuración Apache Ignite, Ventana de mantenimiento para cambio Ignite (requiere reinicio de cluster). Complementa INI-18 (FICO v7 Estabilización) e INI-28 (Trazabilidad E2E). ARIs origen: ARI-53, ARI-54, ARI-57"/>
    <s v="PENDIENTE EN CASO DE PRIORIZACIÓN"/>
    <s v="TI Seguridad/Redes (firewall), Sonda (infra Ignite), Ventiv/FICO (validación motor)"/>
    <s v="Técnica (desde ARIs)"/>
    <s v="Transversal"/>
    <s v="🔴 Riesgo"/>
    <m/>
    <s v="Transversal (Seguridad)"/>
    <s v="Transversal"/>
    <s v="Vulnerabilidades APM + Ignite son transversales"/>
    <s v="Infraestructura OCI/OKE"/>
    <s v="APM, Ignite, FICO"/>
    <s v="Seguridad + Infraestructura"/>
    <s v="Seguridad / Infraestructura"/>
    <s v="OCI / OKE"/>
    <s v="APM, Ignite, tokens OAG/Apigee, red"/>
    <s v="—"/>
    <m/>
    <s v="Sin cambios"/>
  </r>
  <r>
    <s v="INI-40"/>
    <s v="Gobierno de Contingencia, Base Aprobados Online y Documentación de Obsolescencia"/>
    <s v="Tres acciones habilitadoras que son prerequisitos directos de iniciativas TO-BE ya definidas: (1) Definir protocolo formal de contingencia ante caída FICO para canales digital y presencial (ARI-09) — hoy no existe procedimiento y cada caída se gestiona ad-hoc; (2) Implementar microservicio de baja en línea en Base de Aprobados para TAPP (ARI-13) — actualmente la gestión es solo batch, el canal digital no puede dar de baja registros en tiempo real; (3) Evaluar y documentar formalmente el riesgo de obsolescencia de Oracle 12 congelada por dependencia con Oracle Forms (ARI-40) — la BD lleva años sin soporte pero no se puede actualizar por Forms. Cada acción alimenta directamente una INI del roadmap principal."/>
    <s v="Formalizar el protocolo de contingencia FICO como prerequisito de gobernanza (INI-29 e INI-31). Habilitar gestión en tiempo real de Base de Aprobados para canal digital como puente hasta BD Corporativa (INI-34). Documentar formalmente el riesgo Oracle 12/Forms como input para el plan de modernización (INI-32)."/>
    <n v="65134.529147982059"/>
    <x v="1"/>
    <x v="5"/>
    <s v="B1_x0009_🟡 Cualitativo_x0009_Protocolo contingencia_x0009_Procedimiento formal que hoy no existe → actuación coordinada ante caída FICO_x000a_B2_x0009_🟢 Cuantitativo_x0009_Baja online Base Aprobados_x0009_Canal digital puede gestionar registros en tiempo real (hoy solo batch)_x000a_B3_x0009_🟡 Cualitativo_x0009_Riesgo Oracle documentado_x0009_Visibilidad formal para gerencia sobre deuda técnica Oracle 12/Forms_x000a_B4_x0009_🟡 Cualitativo_x0009_Prerequisitos desbloqueados_x0009_INI-29, INI-31, INI-32 e INI-34 pueden avanzar con estos inputs"/>
    <s v="A1_x0009_Diseñar protocolo contingencia FICO (ARI-09)_x0009_Procedimiento para canal digital (TAPP) y presencial (Siebel) ante caída motor_x000a_A2_x0009_Validar protocolo con simulacro_x0009_Ejercicio tabletop con equipos de operaciones, negocio y soporte_x000a_A3_x0009_Diseñar MS baja online Base Aprobados (ARI-13)_x0009_API para TAPP que permite dar de baja registros en tiempo real_x000a_A4_x0009_Desarrollar y desplegar MS baja online_x0009_Microservicio en GCP con endpoint REST para TAPP_x000a_A5_x0009_Documentar riesgo Oracle 12/Forms (ARI-40)_x0009_Análisis formal: versión, soporte, dependencia Forms, alternativas, costo de no actuar_x000a_A6_x0009_Presentar a gerencia para decisión_x0009_Informe ejecutivo con recomendación y opciones de migración"/>
    <s v="E1_x0009_Protocolo de contingencia FICO documentado (digital + presencial)_x000a_E2_x0009_Resultado del simulacro tabletop_x000a_E3_x0009_MS baja online Base Aprobados desplegado_x000a_E4_x0009_API documentada para TAPP_x000a_E5_x0009_Informe de riesgo Oracle 12/Forms con recomendaciones_x000a_E6_x0009_Presentación ejecutiva para toma de decisión"/>
    <s v="INI-12, INI-13, INI-31, INI-32, INI-34"/>
    <s v="A1-A2: Participación de Ger. Riesgo, Ger. Digital, TI Operaciones, Sonda. A3-A4: Acceso a Base de Aprobados (esquema actual), Acceso a GCP para despliegue, API TAPP. A5-A6: Acceso a contratos Oracle, información de Forms, equipo DBA. Input para: , , , . ARIs origen: ARI-09, ARI-13, ARI-40"/>
    <s v="A1-A2: Participación de Ger. Riesgo, Ger. Digital, TI Operaciones, Sonda. A3-A4: Acceso a Base de Aprobados (esquema actual), Acceso a GCP para despliegue, API TAPP. A5-A6: Acceso a contratos Oracle, información de Forms, equipo DBA. Input para: INI-29 (Gobierno), INI-31 (Runbooks), INI-32 (Modernización), INI-34 (BD Corporativa). ARIs origen: ARI-09, ARI-13, ARI-40_x000a__x000a_🔗 DEPENDENCIAS CRUZADAS (Téc→Func): INI-12 (Gobierno funcional); INI-13 (Resiliencia — flujos de contingencia)."/>
    <s v="A1-A2: Participación de Ger. Riesgo, Ger. Digital, TI Operaciones, Sonda. A3-A4: Acceso a Base de Aprobados (esquema actual), Acceso a GCP para despliegue, API TAPP. A5-A6: Acceso a contratos Oracle, información de Forms, equipo DBA. Input para: INI-29 (Gobierno), INI-31 (Runbooks), INI-32 (Modernización), INI-34 (BD Corporativa). ARIs origen: ARI-09, ARI-13, ARI-40"/>
    <s v="PENDIENTE EN CASO DE PRIORIZACIÓN"/>
    <s v="TI Operaciones (contingencia), TI Desarrollo (MS baja), DBA/TI Infra (Oracle), Ger. Riesgo + Ger. Digital (validación)"/>
    <s v="Técnica (desde ARIs)"/>
    <s v="Transversal"/>
    <s v="🔴 Riesgo, 🟡 Canal, 🏛️ Gobierno"/>
    <m/>
    <s v="Transversal (Gobierno + Contingencia)"/>
    <s v="Transversal"/>
    <s v="Base Aprobados Online + documentación obsolescencia"/>
    <s v="Base de Aprobados"/>
    <s v="FlexCube, Siebel, TAPP"/>
    <s v="Datos + Contingencia"/>
    <s v="Datos + Gobierno"/>
    <s v="OCI Santiago"/>
    <s v="Base Aprobados DB, baja online, FlexCube (cierre)"/>
    <s v="—"/>
    <m/>
    <s v="Sin cambios"/>
  </r>
  <r>
    <s v="INI-41"/>
    <s v="Implementar Buenas Prácticas de Ciberseguridad"/>
    <s v="⏸️ PAUSADA — Pendiente reuniones con equipo de Ciberseguridad. Abordará gestión de identidades, tokens OAG/Apigee, cifrado, segmentación de red, hardening. Se diferencia de INI-39 (contención vulnerabilidades activas) en que esta es estratégica y de largo plazo."/>
    <s v="Establecer marco de ciberseguridad para ecosistema onboarding crédito alineado a ISO 27001/NIST."/>
    <n v="4789.2376681614351"/>
    <x v="2"/>
    <x v="5"/>
    <s v="Reducción superficie de ataque, cumplimiento normativo, confianza digital"/>
    <s v="⏸️ PAUSADA — Pendiente definición"/>
    <s v="⏸️ PAUSADA — Pendiente definición"/>
    <s v="INI-24, INI-39"/>
    <s v="Reuniones con equipo Ciber"/>
    <s v="Reuniones con equipo Ciber. INI-39, INI-24"/>
    <s v="INI-39 (contención), INI-24 (Camel), INI-22 (Apigee)"/>
    <s v="⏸️ Pausada"/>
    <s v="Equipo Ciberseguridad CLA, TI Seguridad/Redes"/>
    <s v="⏸️ Por definir"/>
    <s v="Transversal"/>
    <s v="🛡️ Seguridad"/>
    <s v="⏸️ Pausada"/>
    <s v="Transversal (Seguridad)"/>
    <s v="Transversal"/>
    <s v="Ciberseguridad aplica a todos los componentes. Pausada hasta reuniones con ciber."/>
    <s v="Gobierno / Proceso (no aplicativo)"/>
    <s v="APM, Ignite, Apigee, FICO, Camel"/>
    <s v="Seguridad"/>
    <s v="Seguridad / Gobierno"/>
    <s v="⏸️ Pendiente"/>
    <s v="⏸️ Pendiente reuniones con equipo Ciber"/>
    <s v="—"/>
    <m/>
    <s v="Sin cambios"/>
  </r>
  <r>
    <s v="INI-42"/>
    <s v="Modernización del CRM (Siebel → Salesforce)"/>
    <s v="Reemplazo planificado de Siebel CRM por Salesforce. Siebel hoy opera como CRM + orquestador (Svc 147) + motor segmentación. En TO-BE 2 se desacopla evalScoring y muere Svc 147. En TO-BE 3, Siebel se reemplaza completamente. Formaliza ALT-05."/>
    <s v="Reemplazar Siebel por plataforma CRM moderna sin restricciones contractuales/técnicas actuales."/>
    <n v="242659.19282511211"/>
    <x v="2"/>
    <x v="5"/>
    <s v="Eliminación costo licencia Siebel, eliminación cuello botella Svc 147, plataforma moderna, desacople orquestación"/>
    <s v="A1_x0009_Evaluación de alternativas CRM_x0009_Analizar opciones (Salesforce, Dynamics, mantener Siebel), costos, capacidades, integración con ecosistema CLA_x000a_A2_x0009_Diseño de modelo de coexistencia Siebel+Salesforce_x0009_Definir qué funciones migran primero, cuáles conviven, y por cuánto tiempo_x000a_A3_x0009_Desacople de evalScoring de Siebel (TO-BE 2)_x0009_Extraer lógica de evaluación de scoring fuera de Siebel hacia MS Lógica Crédito (INI-21)_x000a_A4_x0009_Desarrollo de MVP Salesforce_x0009_Configurar Salesforce para funciones CRM core: gestión de clientes, seguimiento de solicitudes, reportes_x000a_A5_x0009_Migración de datos y procesos de Siebel a Salesforce_x0009_ETL de datos, mapeo de campos, validación de integridad, pruebas de paridad_x000a_A6_x0009_Cutover y apagado de Siebel_x0009_Plan de cutover con rollback, comunicación a usuarios, capacitación, monitoreo post-migración"/>
    <s v="E1_x0009_Informe de evaluación de alternativas CRM con recomendación_x000a_E2_x0009_Diseño del modelo de coexistencia Siebel + Salesforce_x000a_E3_x0009_evalScoring desacoplado de Siebel y operativo en MS Lógica Crédito_x000a_E4_x0009_Salesforce MVP desplegado con funciones CRM core_x000a_E5_x0009_Migración completa de datos Siebel → Salesforce validada_x000a_E6_x0009_Acta de apagado de Siebel y liberación de licencias"/>
    <s v="INI-04, INI-21, INI-24, INI-34"/>
    <m/>
    <s v="INI-21 (MS Lógica Crédito), INI-04 (evalScoring), INI-24 (Camel), INI-34 (BD Corporativa)"/>
    <s v="INI-21, INI-04, INI-24, INI-34"/>
    <s v="Evaluación TO-BE 2 (6-12m), Implementación TO-BE 3 (12-24m)"/>
    <s v="Ger. Comercial, TI Desarrollo, Proveedor Salesforce"/>
    <s v="Funcional + Técnica"/>
    <s v="Transversal (CRM impacta todo)"/>
    <s v="🟣 Cliente + 🟡 Canal"/>
    <s v="Propuesta nueva"/>
    <s v="Transversal (CRM)"/>
    <s v="Transversal"/>
    <s v="Siebel opera en todas las etapas. Su reemplazo es transversal. Formaliza ALT-05."/>
    <s v="Siebel / Salesforce"/>
    <s v="Camel, FlexCube, TAPP, BD Corporativa"/>
    <s v="CRM + Canal"/>
    <s v="Proceso de Negocio + Integración"/>
    <s v="OCI (Siebel) → Cloud/SaaS (Salesforce)"/>
    <s v="Siebel CRM (apagar), Salesforce (nuevo), Camel (integración), Servicio 147 (ya muerto)"/>
    <s v="—"/>
    <m/>
    <s v="Sin cambios"/>
  </r>
  <r>
    <s v="INI-43"/>
    <s v="Ambiente de Pruebas, QA, Automatización y Datos de Prueba"/>
    <s v="No existe ambiente de pruebas replicable ni datos sanitizados. Todas las INIs asumen testing que NO existe (FG-18). Crea capacidad QA: ambiente espejo, datos sanitizados, regresión automatizada, CI/CD."/>
    <s v="Establecer ambiente pruebas replicable con datos sanitizados, automatización regresión y CI/CD."/>
    <n v="56479.820627802692"/>
    <x v="2"/>
    <x v="5"/>
    <s v="Reducción riesgo regresión, pruebas carga reales (800+ sol/día), velocidad entrega, cumplimiento datos"/>
    <s v="A1_x0009_Relevamiento de requerimientos de ambientes_x0009_Mapear necesidades por INI técnica: ambientes, datos, herramientas QA_x000a_A2_x0009_Diseño de arquitectura de ambiente espejo_x0009_Arquitectura replicable de producción (OCI+GCP) con datos sanitizados_x000a_A3_x0009_Generación de datos de prueba sanitizados_x0009_Framework de generación/anonimización de datos representativos del volumen real_x000a_A4_x0009_Desarrollo de suite de regresión automatizada_x0009_Casos de prueba E2E automatizados para cada servicio crítico del flujo de crédito_x000a_A5_x0009_Implementación de CI/CD para ambientes_x0009_Pipeline automatizado para deploy en ambientes de prueba (Jenkins/CloudBuild)_x000a_A6_x0009_Piloto con INIs técnicas priorizadas_x0009_Validar ambiente con INI-18, INI-24 y INI-35 como primeros usuarios"/>
    <s v="E1_x0009_Mapa de requerimientos de ambientes por INI_x000a_E2_x0009_Arquitectura de ambiente espejo documentada y desplegada_x000a_E3_x0009_Generador de datos sanitizados operativo_x000a_E4_x0009_Suite de regresión automatizada con cobertura de servicios críticos_x000a_E5_x0009_Pipeline CI/CD configurado para ambientes de prueba_x000a_E6_x0009_Reporte de piloto con resultados y ajustes"/>
    <s v="INI-12"/>
    <s v="Acceso OCI y GCP. . Es PREREQUISITO de todas las INIs técnicas"/>
    <s v="Acceso OCI y GCP. INI-29 (gobierno). Es PREREQUISITO de todas las INIs técnicas."/>
    <s v="INI-29. Prerequisito habilitador de TODAS las INIs técnicas."/>
    <s v="H1 (TO-BE 1, 0-6m) — arrancar en paralelo con primeras INIs"/>
    <s v="TI QA, TI Desarrollo, TI Infraestructura"/>
    <s v="Técnica + Funcional"/>
    <s v="Transversal (habilita todas)"/>
    <s v="⚙️ Infraestructura + Gobierno"/>
    <s v="Propuesta nueva"/>
    <s v="Transversal (Habilitador)"/>
    <s v="Transversal"/>
    <s v="QA/Testing es prerequisito de todas las INIs. FG-18 confirma gap."/>
    <s v="GCP + OCI (Infraestructura QA)"/>
    <s v="FICO staging, FlexCube mock, Camel test, TAPP test"/>
    <s v="Infraestructura + DevOps"/>
    <s v="Infraestructura (Ambientes) + CI/CD"/>
    <s v="GCP + OCI (ambientes espejo)"/>
    <s v="Jenkins/Cloud Build, ambiente espejo OCI+GCP, generador datos sanitizados, suite regresión"/>
    <s v="—"/>
    <m/>
    <s v="Sin cambios"/>
  </r>
  <r>
    <s v="INI-44"/>
    <s v="Implementación Progresiva de TOGAF como Marco de Arquitectura Empresarial"/>
    <s v="Scoring TOGAF actual 1.21/5. TO-BE define evolución incremental: Ciclo 1 (proceso+owner), Ciclo 2 (SOA+catálogo+MDM), Ciclo 3 (arquitectura completa). INI-29/INI-12 cubren gobierno pero NO TOGAF como framework."/>
    <s v="Elevar madurez TOGAF de 1.21 a 3.0+ mediante ADM cycle, building blocks, principios y governance board."/>
    <n v="45139.013452914798"/>
    <x v="1"/>
    <x v="5"/>
    <s v="Madurez medible (1.21→3.0+), decisiones documentadas (ADR), catálogo servicios, gobierno arquitectónico"/>
    <s v="A1_x0009_Constituir Architecture Board_x0009_Definir miembros, charter, cadencia y autoridad del comité de arquitectura_x000a_A2_x0009_Adaptar ciclo ADM de TOGAF a CLA_x0009_Simplificar ADM para contexto CLA: fases priorizadas, plantillas, governance gates_x000a_A3_x0009_Definir building blocks del proceso de crédito_x0009_Catalogar componentes de negocio y técnicos como building blocks reutilizables_x000a_A4_x0009_Desarrollar catálogo SOA de servicios_x0009_Inventariar y catalogar todos los servicios (EAI, microservicios, APIs) con metadata_x000a_A5_x0009_Medir madurez con scoring TOGAF_x0009_Aplicar scoring por dominio (Negocio, Datos, Aplicaciones, Tecnología) y comparar con baseline_x000a_A6_x0009_Consolidar arquitectura empresarial TO-BE_x0009_Integrar los 4 dominios TOGAF en una vista consolidada alineada a los 5 TO-BE"/>
    <s v="E1_x0009_Charter del Architecture Board con miembros y cadencia_x000a_E2_x0009_ADM simplificado adaptado a CLA con plantillas_x000a_E3_x0009_Catálogo de building blocks (negocio + técnicos)_x000a_E4_x0009_Catálogo SOA de servicios con metadata_x000a_E5_x0009_Reportes de scoring de madurez TOGAF por dominio_x000a_E6_x0009_Vista consolidada de arquitectura empresarial TO-BE"/>
    <s v="INI-12"/>
    <s v="Complementa ambas con framework TOGAF"/>
    <s v="INI-29 (gobierno E2E), INI-12 (gobierno TI). Complementa ambas con framework TOGAF."/>
    <s v="INI-29, INI-12"/>
    <s v="H1 → H2 → H3 incremental por ciclo"/>
    <s v="Arquitectura TI CLA, PwC, Ger. TI"/>
    <s v="Funcional + Técnica"/>
    <s v="Transversal (marco arquitectura)"/>
    <s v="🏛️ Arquitectura Empresarial"/>
    <s v="Propuesta nueva"/>
    <s v="Transversal (Gobierno + Arquitectura)"/>
    <s v="Transversal"/>
    <s v="TOGAF aplica a toda la arquitectura E2E. Scoring 1.21/5. Evolución incremental."/>
    <s v="Gobierno / Proceso (no aplicativo)"/>
    <s v="Todos los componentes (catálogo building blocks)"/>
    <s v="Gobierno y Operación"/>
    <s v="Gobierno (Arquitectura Empresarial)"/>
    <s v="N/A (organizacional + repositorio)"/>
    <s v="Architecture Board, ADM cycle, catálogo building blocks, catálogo SOA, scoring TOGAF"/>
    <s v="—"/>
    <m/>
    <s v="Sin cambios"/>
  </r>
  <r>
    <s v="INI-46"/>
    <s v="Ajuste al Proceso de Creación de Bases de Campaña (ex-Preaprobados)"/>
    <s v="Proceso actual (PR-05, enero 2021) es manual con múltiples handoffs: Riesgo → Inteligencia Afiliados → Digital Insight → CEOCRM → Ejecutivos. Sin SLAs, sin integración con Base Aprobados ni TAPP. INI-34/INI-40 abordan la BD, NO el proceso funcional."/>
    <s v="Optimizar proceso creación/distribución bases campaña: reducir handoffs, establecer SLAs, conectar con BD Corporativa y canal digital._x000a__x000a_&quot;Poner reglas en el borde&quot;"/>
    <n v="34757.847533632288"/>
    <x v="0"/>
    <x v="6"/>
    <s v="Reducción time-to-campaign, eliminación errores manuales, SLAs entre áreas, conexión canal digital"/>
    <s v="A1_x0009_Levantar proceso AS-IS de creación de bases de campaña_x0009_Documentar el flujo actual con handoffs, tiempos, responsables y puntos de dolor_x000a_A2_x0009_Diagnosticar pain points y pérdidas operativas_x0009_Identificar cuellos de botella, errores frecuentes, tiempos muertos y falta de SLAs_x000a_A3_x0009_Diseñar proceso TO-BE con SLAs y automatización_x0009_Flujo optimizado con SLAs por etapa, integración con BD Corporativa y TAPP_x000a_A4_x0009_Integrar con BD Corporativa (INI-34) y TAPP_x0009_Conectar el proceso con la fuente única de datos y el canal digital_x000a_A5_x0009_Implementar proceso TO-BE_x0009_Desarrollar automatizaciones, validaciones y controles del nuevo flujo_x000a_A6_x0009_Piloto y ajustes_x0009_Ejecutar piloto con una campaña real, medir mejoras vs AS-IS, ajustar"/>
    <s v="E1_x0009_Mapeo AS-IS del proceso de creación de bases de campaña_x000a_E2_x0009_Diagnóstico de pain points con métricas de impacto_x000a_E3_x0009_Diseño TO-BE con SLAs por etapa y modelo de integración_x000a_E4_x0009_Integración operativa con BD Corporativa + TAPP_x000a_E5_x0009_Proceso TO-BE implementado con automatizaciones_x000a_E6_x0009_Reporte de piloto con resultados y recomendaciones"/>
    <s v="INI-23, INI-34, INI-40"/>
    <m/>
    <s v="INI-34 (BD Corporativa), INI-40 (gobierno Base Aprobados), INI-23 (Jobs)"/>
    <s v="INI-34, INI-40, INI-23"/>
    <s v="H1-H2 (TO-BE 1-2, 0-12m)"/>
    <s v="Ger. Riesgo, Inteligencia Afiliados, Digital Insight, Ger. Comercial"/>
    <s v="Funcional"/>
    <s v="Punto de Entrada → Generación de Oferta"/>
    <s v="🔴 Riesgo + 🟣 Cliente"/>
    <s v="Propuesta nueva"/>
    <s v="Punto de Entrada → Generación de Oferta"/>
    <s v="Punto de Entrada → Generación de Oferta"/>
    <s v="Bases campaña definen qué clientes entran al flujo y con qué oferta. Proceso PR-05 CLA."/>
    <s v="Base de Aprobados + BD Corporativa"/>
    <s v="FlexCube, Siebel/Salesforce, TAPP, CEOCRM"/>
    <s v="Datos + Proceso Operativo"/>
    <s v="Proceso de Negocio + Datos"/>
    <s v="OCI + GCP"/>
    <s v="Base Aprobados, BD Corporativa (INI-34), CEOCRM, Jobs EIM, canal digital TAPP"/>
    <s v="—"/>
    <m/>
    <s v="Sin cambios"/>
  </r>
  <r>
    <s v="INI-47"/>
    <s v="Modificación de Canales y Ajustes a Integraciones por INIs Técnicas"/>
    <s v="Múltiples INIs técnicas generan cambios que requieren ajustes en canales (TAPP, Siebel/Salesforce, Apigee): INI-21, INI-24, INI-34, INI-35, INI-42. Catch-all del delta de canal que cada INI técnica genera como efecto cascada."/>
    <s v="Centralizar y gestionar todos los ajustes en canales consecuencia de INIs técnicas del roadmap."/>
    <n v="46991.031390134522"/>
    <x v="1"/>
    <x v="5"/>
    <s v="Gestión centralizada cambios canal, reducción riesgo regresión, planificación ventanas cambio, reducción re-trabajo"/>
    <s v="A1_x0009_Inventariar ajustes de canal requeridos por INIs técnicas_x0009_Recopilar delta de cambios en canales generados por INI-21, INI-24, INI-34, INI-35, INI-42_x000a_A2_x0009_Plan consolidado de ajustes de canal_x0009_Priorizar y secuenciar ajustes en un plan único coordinado con cada INI origen_x000a_A3_x0009_Ajustes en TAPP (canal digital)_x0009_Modificaciones en flujos TAPP derivadas de nuevos microservicios y orquestador_x000a_A4_x0009_Ajustes en Apigee (API Gateway)_x0009_Actualizar rutas, contratos y rate limiting en Apigee por cambios en backend_x000a_A5_x0009_Ajustes en canal presencial (SVP/Sucursales)_x0009_Adaptar flujos presenciales a los nuevos servicios y orquestación_x000a_A6_x0009_Pruebas E2E de canales ajustados_x0009_Validar que todos los canales operan correctamente con los nuevos componentes"/>
    <s v="E1_x0009_Inventario de ajustes de canal por INI origen_x000a_E2_x0009_Plan consolidado de ajustes de canal priorizado_x000a_E3_x0009_TAPP ajustado y validado con nuevos servicios_x000a_E4_x0009_Apigee actualizado (rutas, contratos, rate limiting)_x000a_E5_x0009_Canal presencial adaptado a nueva arquitectura_x000a_E6_x0009_Reporte de pruebas E2E de canales con evidencias"/>
    <s v="INI-21, INI-24, INI-34, INI-35, INI-42"/>
    <s v="Se ejecuta en paralelo"/>
    <s v="INI-21, INI-24, INI-34, INI-35, INI-42. Se ejecuta en paralelo."/>
    <s v="INI-21, INI-24, INI-34, INI-35, INI-42, INI-06, INI-07, INI-14"/>
    <s v="H1-H2-H3 continuo, en paralelo con cada INI técnica"/>
    <s v="TI Desarrollo Canal, TI Integración, Ger. Comercial"/>
    <s v="Técnica"/>
    <s v="Transversal (canales)"/>
    <s v="🟡 Canal"/>
    <s v="Propuesta nueva"/>
    <s v="Transversal (Canal)"/>
    <s v="Transversal"/>
    <s v="Canales atraviesan todas las etapas. Ajustes son efecto cascada de INIs técnicas."/>
    <s v="TAPP (Canal Digital) + Apigee"/>
    <s v="Camel, MS Lógica Crédito, BD Corporativa, Salesforce"/>
    <s v="Canal Digital + Integración"/>
    <s v="Canal (Frontend + API Gateway) + Integración"/>
    <s v="GCP (TAPP, Apigee) + SaaS (Salesforce)"/>
    <s v="TAPP BFF, TAPP frontend, Apigee rutas/políticas, canal presencial, integraciones Camel"/>
    <s v="—"/>
    <m/>
    <s v="Sin cambios"/>
  </r>
  <r>
    <s v="INI-48"/>
    <s v="Reenganche Automático por Simulación Abandonada"/>
    <s v="Capturar simulaciones abandonadas en TAPP, persistir contexto, y al D+1 enviar oferta proactiva con rango aproximado del monto simulado. El afiliado ingresa directo al flujo TAPP_APB (cliente aprobado) sin re-evaluación FICO."/>
    <s v="Recuperar abandonos post-simulación, mejorar conversión digital, reducir carga FICO, ofrecer experiencia proactiva personalizada"/>
    <n v="233744.39461883408"/>
    <x v="0"/>
    <x v="7"/>
    <s v="+8-15% conversión sobre abandonos, 0 llamadas FICO extra, journey de 7-10 pasos a 3-4, data de intención comercial"/>
    <s v="A1_x0009_Diseño evento de abandono (captura RUT, monto, plazo, cuota, timestamp, canal)_x000a_A2_x0009_Persistencia contexto en Redis/BD (ms-abandono-captura en GCP)_x000a_A3_x0009_Job de Reenganche diario (07:00 AM D+1 — valida oferta vigente, calcula rango ±10%, genera oferta proactiva)_x000a_A4_x0009_Motor de notificaciones (push TAPP + email personalizado con deep link)_x000a_A5_x0009_Flujo de aceptación express (ingreso directo a TAPP_APB, saltando simulación y evaluación)_x000a_A6_x0009_Reglas de negocio de reenganche (exclusiones, vigencia 72h, máx 1 por ciclo, horario envío)_x000a_A7_x0009_Dashboard de seguimiento (BigQuery/Looker: abandonos, reenganches, conversión, monto recuperado)_x000a_A8_x0009_Testing E2E + piloto controlado (5% de abandonos, 2 semanas, criterio go/no-go &gt;5% conversión)"/>
    <s v="E1_x0009_Especificación funcional evento de abandono + modelo de datos_x000a_E2_x0009_Microservicio ms-abandono-captura desplegado en GCP_x000a_E3_x0009_Job reenganche desplegado (GCP Cloud Scheduler / Control-M)_x000a_E4_x0009_Plantillas de notificación (push + email) + integración API notificaciones_x000a_E5_x0009_Flujo express en TAPP + pantalla de oferta proactiva + lógica de derivación_x000a_E6_x0009_Documento de reglas de negocio aprobado por Ger. Riesgo + Ger. Comercial_x000a_E7_x0009_Dashboard operativo + reportería semanal automatizada_x000a_E8_x0009_Informe piloto con métricas + decisión go/no-go para rollout"/>
    <s v="INI-07, INI-09, INI-12, INI-20, INI-22, INI-24, INI-25, INI-34, INI-43"/>
    <s v="Definición de reglas de negocio de reenganche aprobadas por Ger. Riesgo + Ger. Comercial (exclusiones, vigencia 72h, máx 1 reenganche por ciclo, horario de envío). Acceso a APIs de notificaciones push (TAPP) y email. Revisión Legal/Compliance: consentimiento para contacto proactivo y uso de data de simulación abandonada. Acceso a GCP (Cloud Run, Cloud Scheduler, Redis, BigQuery). Deep link habilitado en TAPP para flujo de aceptación express."/>
    <s v="-"/>
    <s v="-"/>
    <s v="PENDIENTE EN CASO DE PRIORIZACIÓN"/>
    <s v="Ger. Comercial (owner), Ger. Riesgo (co-owner), TI/Arq, Equipo TAPP, Datos/BI, Legal, QA"/>
    <s v="Conversión + Retención + Experiencia Cliente"/>
    <s v="Post-Simulación / Pre-Contratación (reenganche D+1)"/>
    <s v="🟡 Canal + 🔴 Riesgo + 🟣 Cliente"/>
    <s v="Nueva (complementa hallazgos H3 y H6)"/>
    <s v="_x0009_TO-BE 2 (Ciclo 2: Convivencia Camel + Bus)"/>
    <s v="Ciclo 2 — H2 (6-12 meses)"/>
    <s v=" Mapeo_x0009_Ataca brecha de conversión digital (3.6% vs 11%) usando infra de INI-08/INI-18"/>
    <s v="TAPP (App Digital)"/>
    <s v="Base de Aprobados / BD Corporativa"/>
    <s v="GCP (Cloud Run + Cloud Scheduler + Redis + BigQuery)"/>
    <s v="Servicios + Datos + Presentación"/>
    <s v="_x0009_GCP + TAPP"/>
    <s v="TAPP, Redis, Base Aprobados/BD Corp, Notificaciones, Apigee, BigQuery, Control-M/Cloud Scheduler, Siebel/Salesforce"/>
    <s v="—"/>
    <m/>
    <s v="Sin cambios"/>
  </r>
  <r>
    <s v="INI-49"/>
    <s v="Evaluación UX: Paquetización de Oferta vs Experiencia Actual"/>
    <s v="Se ejecuta una evaluación UX completa (research + prototipado + test A/B) para medir y comparar cómo percibe el afiliado tres variantes de presentación de oferta de crédito:_x000a__x000a_Variante A (Control / AS-IS): Oferta simple actual — monto, cuota, tasa, plazo — sin desglose de productos asociados (seguro, comisiones)._x000a__x000a_Variante B (Paquete integrado): Oferta como 'paquete completo' donde se muestra crédito + seguro de desgravamen + seguro de cesantía + productos asociados como un todo, con precio total mensual visible y badge 'todo incluido'._x000a__x000a_Variante C (Desglose transparente): Oferta desglosada donde el afiliado ve cada componente por separado — cuota crédito puro ($X), cuota seguro desgravamen ($Y), comisión ($Z), total ($T) — con opción de toggle on/off para productos opcionales (lo que la normativa permita)._x000a__x000a_El resultado es un informe con recomendación fundamentada de qué modelo de presentación maximiza conversión + comprensión + NPS, con prototipos de alta fidelidad validados y listos para implementar en TAPP y SVP._x000a__x000a_El foco es entender: ¿cuál prefiere el afiliado? ¿cuál lo frustra menos? ¿cuál genera mayor confianza y menor abandono?"/>
    <s v="O1: Determinar la variante de presentación de oferta (simple / paquete / desglose) que maximiza la tasa de conversión en el canal digital y presencial, validada con test A/B (n≥500 por variante)._x000a_O2: Alcanzar un nivel de comprensión ≥85% entre los afiliados sobre qué incluye la oferta que están aceptando (crédito + seguros + comisiones), medido con test de usabilidad._x000a_O3: Entregar prototipos de alta fidelidad (Figma) validados y listos para implementar por el equipo TAPP, con la variante ganadora definida y aprobada por Ger. Producto, Ger. Comercial y Ger. Riesgo._x000a_O4: Reducir la tasa de abandono en la pantalla de oferta al presentar información completa y comprensible desde el primer momento (upfront), eliminando la sorpresa por 'costos ocultos' en etapas tardías._x000a_O5: Reducir los reclamos post-venta asociados a 'no sabía qué incluía mi crédito'._x000a_O6: Cerrar la brecha de experiencia entre canal digital y presencial: lograr que la oferta en TAPP sea autoexplicativa sin necesidad de ejecutivo._x000a_O7: Habilitar decisiones de diseño de producto/canal basadas en evidencia UX cuantitativa y cualitativa."/>
    <n v="78294.126980150308"/>
    <x v="0"/>
    <x v="2"/>
    <s v="B1: Comprensión de la oferta — Afiliado entiende el 100% de la oferta en pantalla de simulación._x000a_B2: Conversión en etapa de oferta — Información completa upfront → decisión informada → menos abandono tardío._x000a_B3: Reclamos post-venta — Reducción de reclamos por transparencia desde la oferta._x000a_B4: Cross-sell de productos asociados — Presentación como beneficio del paquete → afiliado valora y acepta._x000a_B5: Paridad canal digital vs presencial — UX digital autoexplicativa, reduce brecha canal._x000a_B6: Decisiones basadas en evidencia — Research UX con datos reales para decidir cómo presentar oferta._x000a_B7: Cumplimiento normativo (SERNAC/CMF) — Oferta 100% transparente alineada a normativa."/>
    <s v="A1: Benchmark + Análisis heurístico AS-IS — Auditoría UX de la experiencia actual de presentación de oferta en TAPP y SVP. Benchmark con 3-5 referentes (bancos/cajas/fintech)._x000a_A2: Research cualitativo con afiliados — Entrevistas en profundidad (8-12 afiliados, mix digital + presencial). ¿Qué entienden que incluye su crédito? ¿Saben que pagan seguro? ¿Qué los frustra?_x000a_A3: Diseño de 3 variantes de oferta — Prototipos alta fidelidad para Variante A (Control), B (Paquete integrado), C (Desglose transparente). Cada una para TAPP (móvil) y SVP (web)._x000a_A4: Test de usabilidad + comprensión — Test con 12-15 afiliados (4-5 por variante). Métricas: comprensión, tiempo en pantalla, confianza percibida, preferencia declarada._x000a_A5: Test A/B cuantitativo en TAPP — 2 variantes ganadoras como feature flags, 2-4 semanas. Medir: avance post-oferta, abandono, contratación completa, reclamo D+30. Min 500 sesiones por variante._x000a_A6: Análisis de impacto en reclamos y post-venta — Cruce con datos reclamos SERNAC/internos últimos 12 meses. Revisión con Legal/Cumplimiento._x000a_A7: Informe final + recomendación + prototipos definitivos — Consolidar hallazgos A1-A6, variante recomendada, quick wins de copy/layout, roadmap de implementación UX._x000a_A8: Presentación a gerencias + decisión go/no-go — Workshop 2h con Ger. Producto, Comercial, Canales, Riesgo, Cumplimiento. Decisión formal de variante a implementar."/>
    <s v="E1: Informe de auditoría heurística + benchmark competitivo (3-5 referentes)._x000a_E2: Informe de research cualitativo: insights, personas, pain points, verbatims clave._x000a_E3: 3 prototipos alta fidelidad (Figma/Adobe XD): Variante A + B + C para TAPP y SVP._x000a_E4: Informe de test de usabilidad: métricas por variante, matriz de preferencia, recomendación preliminar._x000a_E5: Informe de test A/B cuantitativo: métricas de conversión, significancia estadística, variante ganadora._x000a_E6: Análisis de reclamos + estimación de reducción + checklist de cumplimiento normativo._x000a_E7: Informe ejecutivo final + prototipos definitivos + roadmap de implementación UX._x000a_E8: Minuta de decisión firmada + variante aprobada + plan de acción."/>
    <s v="INI-09 🟡 (Funnel + Trazabilidad: datos de abandono en pantalla de oferta). INI-12 🟡 (Gobierno Funcional: foro para aprobar variante ganadora). INI-03 🟡 (Fast Track Express: entender cómo se presenta oferta Express vs Normal). Nota: Todos deseables, ninguno bloqueante. Puede arrancar en H1 sin dependencias técnicas."/>
    <m/>
    <s v="Depende de INI-12 para formalizar la decisión de variante ganadora. Se apalanca en INI-09 para datos de abandono por nodo. Se integra con INI-03 (cómo se presenta oferta Express). Alimenta a INI-02 (Oferta Dinámica: cómo se muestra al cliente), INI-14 (Módulo TAPP: UX del entry point) e INI-06 (Derivación: información previa a derivar)._x000a__x000a_🔗 DEPENDENCIAS CRUZADAS (Func↔Téc): INI-27 (Observabilidad para medir impacto post-implementación)."/>
    <m/>
    <s v="PENDIENTE EN CASO DE PRIORIZACIÓN"/>
    <s v="Ger. Producto (owner funcional: composición de oferta), Ger. Canales Digitales (co-owner: analytics TAPP + feature flags), UX Researcher (ejecución: research + diseño + test), Data/BI (análisis cuantitativo test A/B + reclamos), Ger. Comercial (viabilidad comercial + cross-sell), Ger. Riesgo (validación: seguro obligatorio vs opcional), Legal/Cumplimiento (checklist CMF/SERNAC), Equipo TAPP (implementación feature flags + ajustes pantalla)"/>
    <s v="Funcional"/>
    <s v="Simulación → Presentación de Oferta"/>
    <s v="🟡 Canal_x000a_🟢 Producto_x000a_🟣 Cliente"/>
    <s v="Nueva (complementa hallazgos H3 y H6)"/>
    <s v="TO-BE 1 (Ciclo 1: Estabilización)"/>
    <s v="Ciclo 1 — H1 (0-6 meses)"/>
    <s v="El diagnóstico PwC identifica que la conversión digital es significativamente menor que la presencial (TAPP_NOR 3.6% vs TAPP_APB 11%). Una hipótesis no explorada es si la forma de presentar la oferta (simple vs paquetizada vs desglosada) impacta en la decisión del afiliado. En sucursal, el ejecutivo explica la composición de la oferta; en digital, nadie lo hace. Esta iniciativa cierra esa brecha con evidencia UX. Bajo costo, alto impacto potencial, ejecutable en H1 sin dependencias técnicas bloqueantes."/>
    <s v="TAPP (App Digital) — Pantalla de presentación de oferta"/>
    <s v="SVP (Sucursal Virtual Presencial) — Pantalla de oferta en escritorio ejecutivo"/>
    <s v="Frontend (TAPP mobile + SVP web) + Analytics (Google Analytics / Firebase)"/>
    <s v="Capa de Presentación (UI/UX) — No impacta servicios ni datos en fase research"/>
    <s v="TAPP (frontend móvil) + SVP (frontend web) + Figma (prototipado) + Feature flags + Analytics"/>
    <s v="TAPP (pantalla de oferta, flujo de simulación) · SVP (pantalla de oferta ejecutivo) · Analytics TAPP (eventos de pantalla) · Feature flags (variantes A/B) · Capa de presentación de oferta (datos mostrados: monto, cuota, tasa, seguros, comisiones)"/>
    <s v="No impacta servicios EAI en fase research. Post-implementación: podría requerir EAI-005 (condiciones producto), EAI-122 (tasas/comisiones) si pantalla necesita desglose que hoy no consume."/>
    <s v="NO duplica INI-02 (Oferta Dinámica): INI-02 genera la oferta; INI-49 evalúa CÓMO se presenta al afiliado. NO duplica INI-03 (Fast Track Express): INI-03 define el flujo; INI-49 evalúa la UX de la pantalla de oferta. NO duplica INI-14 (Módulo TAPP sin banner): INI-14 define el entry point; INI-49 evalúa la presentación dentro. Complementa INI-09 (Funnel): INI-09 mide dónde abandona; INI-49 investiga POR QUÉ abandona en pantalla de oferta."/>
    <s v="Sin cambios"/>
  </r>
  <r>
    <m/>
    <m/>
    <m/>
    <m/>
    <m/>
    <x v="3"/>
    <x v="8"/>
    <m/>
    <m/>
    <m/>
    <m/>
    <m/>
    <m/>
    <m/>
    <m/>
    <m/>
    <m/>
    <m/>
    <m/>
    <m/>
    <m/>
    <m/>
    <m/>
    <m/>
    <m/>
    <m/>
    <m/>
    <m/>
    <m/>
    <m/>
    <m/>
    <m/>
  </r>
  <r>
    <m/>
    <m/>
    <m/>
    <m/>
    <m/>
    <x v="3"/>
    <x v="8"/>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667885B-50A8-4911-969F-80960A745EB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E11" firstHeaderRow="1" firstDataRow="1" firstDataCol="1"/>
  <pivotFields count="32">
    <pivotField showAll="0"/>
    <pivotField showAll="0"/>
    <pivotField showAll="0"/>
    <pivotField showAll="0"/>
    <pivotField dataField="1" showAll="0"/>
    <pivotField showAll="0"/>
    <pivotField axis="axisRow" showAll="0">
      <items count="12">
        <item m="1" x="9"/>
        <item x="0"/>
        <item m="1" x="10"/>
        <item x="8"/>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0">
    <i>
      <x v="1"/>
    </i>
    <i>
      <x v="3"/>
    </i>
    <i>
      <x v="4"/>
    </i>
    <i>
      <x v="5"/>
    </i>
    <i>
      <x v="6"/>
    </i>
    <i>
      <x v="7"/>
    </i>
    <i>
      <x v="8"/>
    </i>
    <i>
      <x v="9"/>
    </i>
    <i>
      <x v="10"/>
    </i>
    <i t="grand">
      <x/>
    </i>
  </rowItems>
  <colItems count="1">
    <i/>
  </colItems>
  <dataFields count="1">
    <dataField name="Sum of Costo estimado en USD" fld="4" baseField="0" baseItem="0" numFmtId="164"/>
  </dataFields>
  <formats count="2">
    <format dxfId="1">
      <pivotArea outline="0" collapsedLevelsAreSubtotals="1"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54EE203-CA07-4B95-8BCB-827FCB0EC10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6" firstHeaderRow="1" firstDataRow="1" firstDataCol="1"/>
  <pivotFields count="32">
    <pivotField showAll="0"/>
    <pivotField showAll="0"/>
    <pivotField showAll="0"/>
    <pivotField showAll="0"/>
    <pivotField dataField="1" showAll="0"/>
    <pivotField axis="axisRow"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Sum of Costo estimado en USD" fld="4" baseField="0" baseItem="0" numFmtId="164"/>
  </dataFields>
  <formats count="2">
    <format dxfId="3">
      <pivotArea outline="0" collapsedLevelsAreSubtotals="1" fieldPosition="0"/>
    </format>
    <format dxfId="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14BB88-EEB3-4A7E-8642-CD3A6FB3BA5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H11" firstHeaderRow="1" firstDataRow="1" firstDataCol="1"/>
  <pivotFields count="32">
    <pivotField showAll="0"/>
    <pivotField showAll="0"/>
    <pivotField showAll="0"/>
    <pivotField showAll="0"/>
    <pivotField dataField="1" showAll="0"/>
    <pivotField showAll="0"/>
    <pivotField axis="axisRow" showAll="0">
      <items count="12">
        <item m="1" x="9"/>
        <item x="0"/>
        <item m="1" x="10"/>
        <item x="8"/>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0">
    <i>
      <x v="1"/>
    </i>
    <i>
      <x v="3"/>
    </i>
    <i>
      <x v="4"/>
    </i>
    <i>
      <x v="5"/>
    </i>
    <i>
      <x v="6"/>
    </i>
    <i>
      <x v="7"/>
    </i>
    <i>
      <x v="8"/>
    </i>
    <i>
      <x v="9"/>
    </i>
    <i>
      <x v="10"/>
    </i>
    <i t="grand">
      <x/>
    </i>
  </rowItems>
  <colItems count="1">
    <i/>
  </colItems>
  <dataFields count="1">
    <dataField name="Sum of Costo estimado en USD" fld="4" baseField="0" baseItem="0" numFmtId="164"/>
  </dataFields>
  <formats count="2">
    <format dxfId="5">
      <pivotArea outline="0" collapsedLevelsAreSubtotals="1" fieldPosition="0"/>
    </format>
    <format dxfId="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36ED0D-9101-41C9-A978-AE7A11E41083}">
  <dimension ref="A1:AG45"/>
  <sheetViews>
    <sheetView topLeftCell="AD1" zoomScaleNormal="100" workbookViewId="0">
      <pane ySplit="1" topLeftCell="A2" activePane="bottomLeft" state="frozen"/>
      <selection pane="bottomLeft" activeCell="AH1" sqref="AH1"/>
    </sheetView>
  </sheetViews>
  <sheetFormatPr defaultRowHeight="15.75" x14ac:dyDescent="0.25"/>
  <cols>
    <col min="1" max="1" width="9.140625" style="26"/>
    <col min="2" max="2" width="52.42578125" style="39" customWidth="1"/>
    <col min="3" max="3" width="71.5703125" style="24" customWidth="1"/>
    <col min="4" max="4" width="55.7109375" style="24" customWidth="1"/>
    <col min="5" max="5" width="25.42578125" style="64" hidden="1" customWidth="1"/>
    <col min="6" max="8" width="30.85546875" style="61" customWidth="1"/>
    <col min="9" max="9" width="80" style="24" customWidth="1"/>
    <col min="10" max="10" width="41.7109375" style="19" customWidth="1"/>
    <col min="11" max="11" width="105.140625" style="24" customWidth="1"/>
    <col min="12" max="12" width="23" style="11" customWidth="1"/>
    <col min="13" max="13" width="30.7109375" style="11" customWidth="1"/>
    <col min="14" max="14" width="52.42578125" style="19" hidden="1" customWidth="1"/>
    <col min="15" max="15" width="44.5703125" style="19" hidden="1" customWidth="1"/>
    <col min="16" max="16" width="30.7109375" style="26" customWidth="1"/>
    <col min="17" max="17" width="22.5703125" style="19" customWidth="1"/>
    <col min="18" max="18" width="40.42578125" style="26" customWidth="1"/>
    <col min="19" max="19" width="34.5703125" style="26" customWidth="1"/>
    <col min="20" max="20" width="23.42578125"/>
    <col min="21" max="21" width="20.5703125" style="19" customWidth="1"/>
    <col min="22" max="22" width="27" style="19" customWidth="1"/>
    <col min="23" max="23" width="29.42578125" style="19" customWidth="1"/>
    <col min="24" max="24" width="27" style="19" customWidth="1"/>
    <col min="25" max="25" width="34.28515625" style="19" customWidth="1"/>
    <col min="26" max="26" width="32" style="19" customWidth="1"/>
    <col min="27" max="27" width="23.5703125" style="19" customWidth="1"/>
    <col min="28" max="28" width="25.7109375" style="19" customWidth="1"/>
    <col min="29" max="29" width="20.5703125" style="19" customWidth="1"/>
    <col min="30" max="30" width="30.42578125" style="19" customWidth="1"/>
    <col min="31" max="31" width="20.85546875" style="19" customWidth="1"/>
    <col min="32" max="32" width="35.140625" style="19" customWidth="1"/>
    <col min="33" max="33" width="33" style="19" customWidth="1"/>
    <col min="34" max="16384" width="9.140625" style="19"/>
  </cols>
  <sheetData>
    <row r="1" spans="1:33" ht="30" x14ac:dyDescent="0.25">
      <c r="A1" s="17" t="s">
        <v>0</v>
      </c>
      <c r="B1" s="60" t="s">
        <v>1</v>
      </c>
      <c r="C1" s="18" t="s">
        <v>2</v>
      </c>
      <c r="D1" s="18" t="s">
        <v>3</v>
      </c>
      <c r="E1" s="63" t="s">
        <v>4</v>
      </c>
      <c r="F1" s="17" t="s">
        <v>5</v>
      </c>
      <c r="G1" s="17" t="s">
        <v>6</v>
      </c>
      <c r="H1" s="17" t="s">
        <v>7</v>
      </c>
      <c r="I1" s="18" t="s">
        <v>8</v>
      </c>
      <c r="J1" s="17" t="s">
        <v>9</v>
      </c>
      <c r="K1" s="18" t="s">
        <v>10</v>
      </c>
      <c r="L1" s="30" t="s">
        <v>11</v>
      </c>
      <c r="M1" s="30" t="s">
        <v>12</v>
      </c>
      <c r="N1" s="17" t="s">
        <v>13</v>
      </c>
      <c r="O1" s="17" t="s">
        <v>14</v>
      </c>
      <c r="P1" s="17" t="s">
        <v>15</v>
      </c>
      <c r="Q1" s="17" t="s">
        <v>16</v>
      </c>
      <c r="R1" s="17" t="s">
        <v>17</v>
      </c>
      <c r="S1" s="17" t="s">
        <v>18</v>
      </c>
      <c r="T1" s="17" t="s">
        <v>19</v>
      </c>
      <c r="U1" s="17" t="s">
        <v>20</v>
      </c>
      <c r="V1" s="17" t="s">
        <v>21</v>
      </c>
      <c r="W1" s="17" t="s">
        <v>22</v>
      </c>
      <c r="X1" s="17" t="s">
        <v>23</v>
      </c>
      <c r="Y1" s="17" t="s">
        <v>24</v>
      </c>
      <c r="Z1" s="17" t="s">
        <v>25</v>
      </c>
      <c r="AA1" s="17" t="s">
        <v>26</v>
      </c>
      <c r="AB1" s="17" t="s">
        <v>27</v>
      </c>
      <c r="AC1" s="17" t="s">
        <v>28</v>
      </c>
      <c r="AD1" s="17" t="s">
        <v>29</v>
      </c>
      <c r="AE1" s="17" t="s">
        <v>30</v>
      </c>
      <c r="AF1" s="17" t="s">
        <v>31</v>
      </c>
      <c r="AG1" s="45" t="s">
        <v>32</v>
      </c>
    </row>
    <row r="2" spans="1:33" ht="150" x14ac:dyDescent="0.2">
      <c r="A2" s="72" t="s">
        <v>33</v>
      </c>
      <c r="B2" s="38" t="s">
        <v>34</v>
      </c>
      <c r="C2" s="22" t="s">
        <v>35</v>
      </c>
      <c r="D2" s="22" t="s">
        <v>36</v>
      </c>
      <c r="E2" s="64">
        <f>SUMIF('Por actividad (2)'!A:A,'Iniciativas (2)'!A2,'Por actividad (2)'!N:N)</f>
        <v>155636.7713004484</v>
      </c>
      <c r="F2" s="65" t="s">
        <v>37</v>
      </c>
      <c r="G2" s="66" t="s">
        <v>38</v>
      </c>
      <c r="H2" s="68"/>
      <c r="I2" s="22" t="s">
        <v>39</v>
      </c>
      <c r="J2" s="31" t="s">
        <v>40</v>
      </c>
      <c r="K2" s="22" t="s">
        <v>41</v>
      </c>
      <c r="L2" s="23" t="s">
        <v>42</v>
      </c>
      <c r="M2" s="23" t="s">
        <v>43</v>
      </c>
      <c r="N2" s="31" t="s">
        <v>44</v>
      </c>
      <c r="O2" s="31" t="s">
        <v>45</v>
      </c>
      <c r="P2" s="32" t="s">
        <v>46</v>
      </c>
      <c r="Q2" s="31" t="s">
        <v>47</v>
      </c>
      <c r="R2" s="32" t="s">
        <v>48</v>
      </c>
      <c r="S2" s="32" t="s">
        <v>49</v>
      </c>
      <c r="T2" s="1" t="s">
        <v>50</v>
      </c>
      <c r="V2" s="32" t="s">
        <v>49</v>
      </c>
      <c r="W2" s="32" t="s">
        <v>49</v>
      </c>
      <c r="X2" s="32" t="s">
        <v>51</v>
      </c>
      <c r="Y2" s="32" t="s">
        <v>52</v>
      </c>
      <c r="Z2" s="32" t="s">
        <v>53</v>
      </c>
      <c r="AA2" s="32" t="s">
        <v>54</v>
      </c>
      <c r="AB2" s="32" t="s">
        <v>55</v>
      </c>
      <c r="AC2" s="32" t="s">
        <v>56</v>
      </c>
      <c r="AD2" s="32" t="s">
        <v>57</v>
      </c>
      <c r="AE2" s="32" t="s">
        <v>58</v>
      </c>
      <c r="AF2" s="32"/>
      <c r="AG2" s="46" t="s">
        <v>59</v>
      </c>
    </row>
    <row r="3" spans="1:33" ht="150" x14ac:dyDescent="0.2">
      <c r="A3" s="72" t="s">
        <v>60</v>
      </c>
      <c r="B3" s="38" t="s">
        <v>61</v>
      </c>
      <c r="C3" s="22" t="s">
        <v>62</v>
      </c>
      <c r="D3" s="22" t="s">
        <v>63</v>
      </c>
      <c r="E3" s="64">
        <f>SUMIF('Por actividad (2)'!A:A,'Iniciativas (2)'!A3,'Por actividad (2)'!N:N)</f>
        <v>104192.82511210762</v>
      </c>
      <c r="F3" s="65" t="s">
        <v>37</v>
      </c>
      <c r="G3" s="66" t="s">
        <v>38</v>
      </c>
      <c r="H3" s="68"/>
      <c r="I3" s="22" t="s">
        <v>64</v>
      </c>
      <c r="J3" s="31" t="s">
        <v>65</v>
      </c>
      <c r="K3" s="22" t="s">
        <v>66</v>
      </c>
      <c r="L3" s="23" t="s">
        <v>67</v>
      </c>
      <c r="M3" s="23" t="s">
        <v>68</v>
      </c>
      <c r="N3" s="31" t="s">
        <v>69</v>
      </c>
      <c r="O3" s="31" t="s">
        <v>70</v>
      </c>
      <c r="P3" s="32" t="s">
        <v>46</v>
      </c>
      <c r="Q3" s="31" t="s">
        <v>71</v>
      </c>
      <c r="R3" s="32" t="s">
        <v>48</v>
      </c>
      <c r="S3" s="32" t="s">
        <v>49</v>
      </c>
      <c r="T3" s="7" t="s">
        <v>72</v>
      </c>
      <c r="V3" s="32" t="s">
        <v>49</v>
      </c>
      <c r="W3" s="32" t="s">
        <v>49</v>
      </c>
      <c r="X3" s="32" t="s">
        <v>73</v>
      </c>
      <c r="Y3" s="32" t="s">
        <v>52</v>
      </c>
      <c r="Z3" s="32" t="s">
        <v>74</v>
      </c>
      <c r="AA3" s="32" t="s">
        <v>54</v>
      </c>
      <c r="AB3" s="32" t="s">
        <v>55</v>
      </c>
      <c r="AC3" s="32" t="s">
        <v>75</v>
      </c>
      <c r="AD3" s="32" t="s">
        <v>76</v>
      </c>
      <c r="AE3" s="32" t="s">
        <v>58</v>
      </c>
      <c r="AF3" s="32"/>
      <c r="AG3" s="46" t="s">
        <v>59</v>
      </c>
    </row>
    <row r="4" spans="1:33" ht="135" x14ac:dyDescent="0.2">
      <c r="A4" s="72" t="s">
        <v>77</v>
      </c>
      <c r="B4" s="38" t="s">
        <v>78</v>
      </c>
      <c r="C4" s="22" t="s">
        <v>79</v>
      </c>
      <c r="D4" s="22" t="s">
        <v>80</v>
      </c>
      <c r="E4" s="64">
        <f>SUMIF('Por actividad (2)'!A:A,'Iniciativas (2)'!A4,'Por actividad (2)'!N:N)</f>
        <v>109578.47533632287</v>
      </c>
      <c r="F4" s="65" t="s">
        <v>37</v>
      </c>
      <c r="G4" s="66" t="s">
        <v>81</v>
      </c>
      <c r="H4" s="68"/>
      <c r="I4" s="22" t="s">
        <v>82</v>
      </c>
      <c r="J4" s="31" t="s">
        <v>83</v>
      </c>
      <c r="K4" s="22" t="s">
        <v>84</v>
      </c>
      <c r="L4" s="23" t="s">
        <v>85</v>
      </c>
      <c r="M4" s="23" t="s">
        <v>86</v>
      </c>
      <c r="N4" s="31" t="s">
        <v>87</v>
      </c>
      <c r="O4" s="31" t="s">
        <v>88</v>
      </c>
      <c r="P4" s="32" t="s">
        <v>46</v>
      </c>
      <c r="Q4" s="31" t="s">
        <v>89</v>
      </c>
      <c r="R4" s="32" t="s">
        <v>48</v>
      </c>
      <c r="S4" s="32" t="s">
        <v>90</v>
      </c>
      <c r="T4" s="1" t="s">
        <v>91</v>
      </c>
      <c r="V4" s="32" t="s">
        <v>92</v>
      </c>
      <c r="W4" s="32" t="s">
        <v>93</v>
      </c>
      <c r="X4" s="32" t="s">
        <v>94</v>
      </c>
      <c r="Y4" s="32" t="s">
        <v>52</v>
      </c>
      <c r="Z4" s="32" t="s">
        <v>95</v>
      </c>
      <c r="AA4" s="32" t="s">
        <v>54</v>
      </c>
      <c r="AB4" s="32" t="s">
        <v>96</v>
      </c>
      <c r="AC4" s="32" t="s">
        <v>97</v>
      </c>
      <c r="AD4" s="32" t="s">
        <v>98</v>
      </c>
      <c r="AE4" s="32" t="s">
        <v>58</v>
      </c>
      <c r="AF4" s="32"/>
      <c r="AG4" s="46" t="s">
        <v>59</v>
      </c>
    </row>
    <row r="5" spans="1:33" ht="150" x14ac:dyDescent="0.2">
      <c r="A5" s="72" t="s">
        <v>99</v>
      </c>
      <c r="B5" s="38" t="s">
        <v>100</v>
      </c>
      <c r="C5" s="22" t="s">
        <v>101</v>
      </c>
      <c r="D5" s="22" t="s">
        <v>102</v>
      </c>
      <c r="E5" s="64">
        <f>SUMIF('Por actividad (2)'!A:A,'Iniciativas (2)'!A5,'Por actividad (2)'!N:N)</f>
        <v>60430.493273542597</v>
      </c>
      <c r="F5" s="65" t="s">
        <v>37</v>
      </c>
      <c r="G5" s="66" t="s">
        <v>103</v>
      </c>
      <c r="H5" s="68"/>
      <c r="I5" s="22" t="s">
        <v>104</v>
      </c>
      <c r="J5" s="31" t="s">
        <v>105</v>
      </c>
      <c r="K5" s="22" t="s">
        <v>106</v>
      </c>
      <c r="L5" s="23" t="s">
        <v>107</v>
      </c>
      <c r="M5" s="23" t="s">
        <v>108</v>
      </c>
      <c r="N5" s="31" t="s">
        <v>109</v>
      </c>
      <c r="O5" s="31" t="s">
        <v>110</v>
      </c>
      <c r="P5" s="32" t="s">
        <v>46</v>
      </c>
      <c r="Q5" s="31" t="s">
        <v>111</v>
      </c>
      <c r="R5" s="32" t="s">
        <v>48</v>
      </c>
      <c r="S5" s="32" t="s">
        <v>112</v>
      </c>
      <c r="T5" s="2" t="s">
        <v>113</v>
      </c>
      <c r="V5" s="32" t="s">
        <v>112</v>
      </c>
      <c r="W5" s="32" t="s">
        <v>112</v>
      </c>
      <c r="X5" s="32" t="s">
        <v>114</v>
      </c>
      <c r="Y5" s="32" t="s">
        <v>115</v>
      </c>
      <c r="Z5" s="32" t="s">
        <v>116</v>
      </c>
      <c r="AA5" s="32" t="s">
        <v>117</v>
      </c>
      <c r="AB5" s="32" t="s">
        <v>118</v>
      </c>
      <c r="AC5" s="32" t="s">
        <v>119</v>
      </c>
      <c r="AD5" s="32" t="s">
        <v>120</v>
      </c>
      <c r="AE5" s="32" t="s">
        <v>58</v>
      </c>
      <c r="AF5" s="32"/>
      <c r="AG5" s="46" t="s">
        <v>59</v>
      </c>
    </row>
    <row r="6" spans="1:33" ht="180" x14ac:dyDescent="0.2">
      <c r="A6" s="72" t="s">
        <v>121</v>
      </c>
      <c r="B6" s="38" t="s">
        <v>122</v>
      </c>
      <c r="C6" s="22" t="s">
        <v>123</v>
      </c>
      <c r="D6" s="22" t="s">
        <v>124</v>
      </c>
      <c r="E6" s="64">
        <f>SUMIF('Por actividad (2)'!A:A,'Iniciativas (2)'!A6,'Por actividad (2)'!N:N)</f>
        <v>71089.686098654711</v>
      </c>
      <c r="F6" s="65" t="s">
        <v>37</v>
      </c>
      <c r="G6" s="66" t="s">
        <v>125</v>
      </c>
      <c r="H6" s="68"/>
      <c r="I6" s="22" t="s">
        <v>126</v>
      </c>
      <c r="J6" s="31" t="s">
        <v>127</v>
      </c>
      <c r="K6" s="22" t="s">
        <v>128</v>
      </c>
      <c r="L6" s="23" t="s">
        <v>129</v>
      </c>
      <c r="M6" s="23" t="s">
        <v>130</v>
      </c>
      <c r="N6" s="31" t="s">
        <v>131</v>
      </c>
      <c r="O6" s="31" t="s">
        <v>132</v>
      </c>
      <c r="P6" s="32" t="s">
        <v>46</v>
      </c>
      <c r="Q6" s="31" t="s">
        <v>133</v>
      </c>
      <c r="R6" s="32" t="s">
        <v>48</v>
      </c>
      <c r="S6" s="32" t="s">
        <v>134</v>
      </c>
      <c r="T6" s="3" t="s">
        <v>135</v>
      </c>
      <c r="V6" s="32" t="s">
        <v>134</v>
      </c>
      <c r="W6" s="32" t="s">
        <v>134</v>
      </c>
      <c r="X6" s="32" t="s">
        <v>136</v>
      </c>
      <c r="Y6" s="32" t="s">
        <v>115</v>
      </c>
      <c r="Z6" s="32" t="s">
        <v>137</v>
      </c>
      <c r="AA6" s="32" t="s">
        <v>138</v>
      </c>
      <c r="AB6" s="32" t="s">
        <v>55</v>
      </c>
      <c r="AC6" s="32" t="s">
        <v>97</v>
      </c>
      <c r="AD6" s="32" t="s">
        <v>139</v>
      </c>
      <c r="AE6" s="32" t="s">
        <v>58</v>
      </c>
      <c r="AF6" s="32"/>
      <c r="AG6" s="46" t="s">
        <v>59</v>
      </c>
    </row>
    <row r="7" spans="1:33" ht="210" x14ac:dyDescent="0.2">
      <c r="A7" s="72" t="s">
        <v>140</v>
      </c>
      <c r="B7" s="38" t="s">
        <v>141</v>
      </c>
      <c r="C7" s="22" t="s">
        <v>142</v>
      </c>
      <c r="D7" s="22" t="s">
        <v>143</v>
      </c>
      <c r="E7" s="64">
        <f>SUMIF('Por actividad (2)'!A:A,'Iniciativas (2)'!A7,'Por actividad (2)'!N:N)</f>
        <v>62013.452914798196</v>
      </c>
      <c r="F7" s="65" t="s">
        <v>37</v>
      </c>
      <c r="G7" s="66" t="s">
        <v>144</v>
      </c>
      <c r="H7" s="68"/>
      <c r="I7" s="22" t="s">
        <v>145</v>
      </c>
      <c r="J7" s="31" t="s">
        <v>146</v>
      </c>
      <c r="K7" s="22" t="s">
        <v>147</v>
      </c>
      <c r="L7" s="23" t="s">
        <v>148</v>
      </c>
      <c r="M7" s="23" t="s">
        <v>149</v>
      </c>
      <c r="N7" s="31" t="s">
        <v>150</v>
      </c>
      <c r="O7" s="31" t="s">
        <v>151</v>
      </c>
      <c r="P7" s="32" t="s">
        <v>46</v>
      </c>
      <c r="Q7" s="31" t="s">
        <v>152</v>
      </c>
      <c r="R7" s="32" t="s">
        <v>48</v>
      </c>
      <c r="S7" s="32" t="s">
        <v>153</v>
      </c>
      <c r="T7" s="2" t="s">
        <v>154</v>
      </c>
      <c r="V7" s="32" t="s">
        <v>155</v>
      </c>
      <c r="W7" s="32" t="s">
        <v>156</v>
      </c>
      <c r="X7" s="32" t="s">
        <v>157</v>
      </c>
      <c r="Y7" s="32" t="s">
        <v>158</v>
      </c>
      <c r="Z7" s="32" t="s">
        <v>159</v>
      </c>
      <c r="AA7" s="32" t="s">
        <v>160</v>
      </c>
      <c r="AB7" s="32" t="s">
        <v>161</v>
      </c>
      <c r="AC7" s="32" t="s">
        <v>162</v>
      </c>
      <c r="AD7" s="32" t="s">
        <v>163</v>
      </c>
      <c r="AE7" s="32" t="s">
        <v>58</v>
      </c>
      <c r="AF7" s="32"/>
      <c r="AG7" s="46" t="s">
        <v>59</v>
      </c>
    </row>
    <row r="8" spans="1:33" ht="150" x14ac:dyDescent="0.2">
      <c r="A8" s="72" t="s">
        <v>164</v>
      </c>
      <c r="B8" s="38" t="s">
        <v>2008</v>
      </c>
      <c r="C8" s="22" t="s">
        <v>166</v>
      </c>
      <c r="D8" s="22" t="s">
        <v>167</v>
      </c>
      <c r="E8" s="64">
        <f>SUMIF('Por actividad (2)'!A:A,'Iniciativas (2)'!A8,'Por actividad (2)'!N:N)</f>
        <v>78654.708520179367</v>
      </c>
      <c r="F8" s="65" t="s">
        <v>37</v>
      </c>
      <c r="G8" s="66" t="s">
        <v>103</v>
      </c>
      <c r="H8" s="68"/>
      <c r="I8" s="22" t="s">
        <v>168</v>
      </c>
      <c r="J8" s="31" t="s">
        <v>169</v>
      </c>
      <c r="K8" s="22" t="s">
        <v>170</v>
      </c>
      <c r="L8" s="23" t="s">
        <v>171</v>
      </c>
      <c r="M8" s="23" t="s">
        <v>172</v>
      </c>
      <c r="N8" s="31" t="s">
        <v>173</v>
      </c>
      <c r="O8" s="31" t="s">
        <v>174</v>
      </c>
      <c r="P8" s="32" t="s">
        <v>46</v>
      </c>
      <c r="Q8" s="31" t="s">
        <v>175</v>
      </c>
      <c r="R8" s="32" t="s">
        <v>48</v>
      </c>
      <c r="S8" s="32" t="s">
        <v>176</v>
      </c>
      <c r="T8" s="2" t="s">
        <v>177</v>
      </c>
      <c r="V8" s="32" t="s">
        <v>178</v>
      </c>
      <c r="W8" s="32" t="s">
        <v>156</v>
      </c>
      <c r="X8" s="32" t="s">
        <v>179</v>
      </c>
      <c r="Y8" s="32" t="s">
        <v>158</v>
      </c>
      <c r="Z8" s="32" t="s">
        <v>180</v>
      </c>
      <c r="AA8" s="32" t="s">
        <v>181</v>
      </c>
      <c r="AB8" s="32" t="s">
        <v>182</v>
      </c>
      <c r="AC8" s="32" t="s">
        <v>183</v>
      </c>
      <c r="AD8" s="32" t="s">
        <v>184</v>
      </c>
      <c r="AE8" s="32" t="s">
        <v>58</v>
      </c>
      <c r="AF8" s="32" t="s">
        <v>185</v>
      </c>
      <c r="AG8" s="46" t="s">
        <v>186</v>
      </c>
    </row>
    <row r="9" spans="1:33" ht="270" x14ac:dyDescent="0.2">
      <c r="A9" s="72" t="s">
        <v>187</v>
      </c>
      <c r="B9" s="38" t="s">
        <v>188</v>
      </c>
      <c r="C9" s="22" t="s">
        <v>189</v>
      </c>
      <c r="D9" s="22" t="s">
        <v>190</v>
      </c>
      <c r="E9" s="64">
        <f>SUMIF('Por actividad (2)'!A:A,'Iniciativas (2)'!A9,'Por actividad (2)'!N:N)</f>
        <v>131116.59192825112</v>
      </c>
      <c r="F9" s="65" t="s">
        <v>37</v>
      </c>
      <c r="G9" s="66" t="s">
        <v>191</v>
      </c>
      <c r="H9" s="68"/>
      <c r="I9" s="22" t="s">
        <v>192</v>
      </c>
      <c r="J9" s="31" t="s">
        <v>193</v>
      </c>
      <c r="K9" s="22" t="s">
        <v>194</v>
      </c>
      <c r="L9" s="23" t="s">
        <v>195</v>
      </c>
      <c r="M9" s="23" t="s">
        <v>196</v>
      </c>
      <c r="N9" s="31" t="s">
        <v>197</v>
      </c>
      <c r="O9" s="31" t="s">
        <v>198</v>
      </c>
      <c r="P9" s="32" t="s">
        <v>46</v>
      </c>
      <c r="Q9" s="31" t="s">
        <v>199</v>
      </c>
      <c r="R9" s="32" t="s">
        <v>48</v>
      </c>
      <c r="S9" s="32" t="s">
        <v>200</v>
      </c>
      <c r="T9" s="4" t="s">
        <v>201</v>
      </c>
      <c r="V9" s="32" t="s">
        <v>202</v>
      </c>
      <c r="W9" s="32" t="s">
        <v>203</v>
      </c>
      <c r="X9" s="32" t="s">
        <v>204</v>
      </c>
      <c r="Y9" s="32" t="s">
        <v>205</v>
      </c>
      <c r="Z9" s="32" t="s">
        <v>206</v>
      </c>
      <c r="AA9" s="32" t="s">
        <v>207</v>
      </c>
      <c r="AB9" s="32" t="s">
        <v>208</v>
      </c>
      <c r="AC9" s="32" t="s">
        <v>209</v>
      </c>
      <c r="AD9" s="32" t="s">
        <v>210</v>
      </c>
      <c r="AE9" s="32" t="s">
        <v>58</v>
      </c>
      <c r="AF9" s="32"/>
      <c r="AG9" s="46" t="s">
        <v>59</v>
      </c>
    </row>
    <row r="10" spans="1:33" ht="165" x14ac:dyDescent="0.2">
      <c r="A10" s="72" t="s">
        <v>211</v>
      </c>
      <c r="B10" s="38" t="s">
        <v>212</v>
      </c>
      <c r="C10" s="22" t="s">
        <v>213</v>
      </c>
      <c r="D10" s="22" t="s">
        <v>214</v>
      </c>
      <c r="E10" s="64">
        <f>SUMIF('Por actividad (2)'!A:A,'Iniciativas (2)'!A10,'Por actividad (2)'!N:N)</f>
        <v>93206.278026905828</v>
      </c>
      <c r="F10" s="65" t="s">
        <v>37</v>
      </c>
      <c r="G10" s="66" t="s">
        <v>103</v>
      </c>
      <c r="H10" s="68"/>
      <c r="I10" s="22" t="s">
        <v>215</v>
      </c>
      <c r="J10" s="31" t="s">
        <v>216</v>
      </c>
      <c r="K10" s="22" t="s">
        <v>217</v>
      </c>
      <c r="L10" s="23" t="s">
        <v>218</v>
      </c>
      <c r="M10" s="23" t="s">
        <v>219</v>
      </c>
      <c r="N10" s="31" t="s">
        <v>220</v>
      </c>
      <c r="O10" s="31" t="s">
        <v>221</v>
      </c>
      <c r="P10" s="32" t="s">
        <v>46</v>
      </c>
      <c r="Q10" s="31" t="s">
        <v>222</v>
      </c>
      <c r="R10" s="32" t="s">
        <v>48</v>
      </c>
      <c r="S10" s="32" t="s">
        <v>223</v>
      </c>
      <c r="T10" s="8" t="s">
        <v>224</v>
      </c>
      <c r="V10" s="32" t="s">
        <v>225</v>
      </c>
      <c r="W10" s="32" t="s">
        <v>225</v>
      </c>
      <c r="X10" s="32" t="s">
        <v>226</v>
      </c>
      <c r="Y10" s="32" t="s">
        <v>52</v>
      </c>
      <c r="Z10" s="32" t="s">
        <v>227</v>
      </c>
      <c r="AA10" s="32" t="s">
        <v>54</v>
      </c>
      <c r="AB10" s="32" t="s">
        <v>55</v>
      </c>
      <c r="AC10" s="32" t="s">
        <v>228</v>
      </c>
      <c r="AD10" s="32" t="s">
        <v>229</v>
      </c>
      <c r="AE10" s="32" t="s">
        <v>58</v>
      </c>
      <c r="AF10" s="32" t="s">
        <v>230</v>
      </c>
      <c r="AG10" s="46" t="s">
        <v>231</v>
      </c>
    </row>
    <row r="11" spans="1:33" ht="165" x14ac:dyDescent="0.2">
      <c r="A11" s="72" t="s">
        <v>232</v>
      </c>
      <c r="B11" s="38" t="s">
        <v>233</v>
      </c>
      <c r="C11" s="22" t="s">
        <v>234</v>
      </c>
      <c r="D11" s="22" t="s">
        <v>235</v>
      </c>
      <c r="E11" s="64">
        <f>SUMIF('Por actividad (2)'!A:A,'Iniciativas (2)'!A11,'Por actividad (2)'!N:N)</f>
        <v>58565.022421524656</v>
      </c>
      <c r="F11" s="65" t="s">
        <v>236</v>
      </c>
      <c r="G11" s="66" t="s">
        <v>191</v>
      </c>
      <c r="H11" s="68"/>
      <c r="I11" s="22" t="s">
        <v>237</v>
      </c>
      <c r="J11" s="31" t="s">
        <v>238</v>
      </c>
      <c r="K11" s="22" t="s">
        <v>239</v>
      </c>
      <c r="L11" s="23"/>
      <c r="M11" s="23" t="s">
        <v>240</v>
      </c>
      <c r="N11" s="31" t="s">
        <v>241</v>
      </c>
      <c r="O11" s="31" t="s">
        <v>242</v>
      </c>
      <c r="P11" s="32" t="s">
        <v>46</v>
      </c>
      <c r="Q11" s="31" t="s">
        <v>243</v>
      </c>
      <c r="R11" s="32" t="s">
        <v>244</v>
      </c>
      <c r="S11" s="32" t="s">
        <v>245</v>
      </c>
      <c r="T11" s="5" t="s">
        <v>246</v>
      </c>
      <c r="V11" s="32" t="s">
        <v>247</v>
      </c>
      <c r="W11" s="32" t="s">
        <v>203</v>
      </c>
      <c r="X11" s="32" t="s">
        <v>248</v>
      </c>
      <c r="Y11" s="32" t="s">
        <v>249</v>
      </c>
      <c r="Z11" s="32" t="s">
        <v>250</v>
      </c>
      <c r="AA11" s="32" t="s">
        <v>251</v>
      </c>
      <c r="AB11" s="32" t="s">
        <v>252</v>
      </c>
      <c r="AC11" s="32" t="s">
        <v>253</v>
      </c>
      <c r="AD11" s="32" t="s">
        <v>254</v>
      </c>
      <c r="AE11" s="32" t="s">
        <v>58</v>
      </c>
      <c r="AF11" s="32" t="s">
        <v>255</v>
      </c>
      <c r="AG11" s="46" t="s">
        <v>256</v>
      </c>
    </row>
    <row r="12" spans="1:33" ht="409.5" x14ac:dyDescent="0.2">
      <c r="A12" s="72" t="s">
        <v>257</v>
      </c>
      <c r="B12" s="38" t="s">
        <v>258</v>
      </c>
      <c r="C12" s="22" t="s">
        <v>259</v>
      </c>
      <c r="D12" s="22" t="s">
        <v>260</v>
      </c>
      <c r="E12" s="64">
        <f>SUMIF('Por actividad (2)'!A:A,'Iniciativas (2)'!A12,'Por actividad (2)'!N:N)</f>
        <v>142044.84304932735</v>
      </c>
      <c r="F12" s="65" t="s">
        <v>261</v>
      </c>
      <c r="G12" s="66" t="s">
        <v>191</v>
      </c>
      <c r="H12" s="68"/>
      <c r="I12" s="22" t="s">
        <v>262</v>
      </c>
      <c r="J12" s="49" t="s">
        <v>263</v>
      </c>
      <c r="K12" s="22" t="s">
        <v>264</v>
      </c>
      <c r="L12" s="23" t="s">
        <v>265</v>
      </c>
      <c r="M12" s="23" t="s">
        <v>266</v>
      </c>
      <c r="N12" s="31" t="s">
        <v>267</v>
      </c>
      <c r="O12" s="31" t="s">
        <v>268</v>
      </c>
      <c r="P12" s="32" t="s">
        <v>46</v>
      </c>
      <c r="Q12" s="49" t="s">
        <v>269</v>
      </c>
      <c r="R12" s="32" t="s">
        <v>270</v>
      </c>
      <c r="S12" s="32" t="s">
        <v>203</v>
      </c>
      <c r="T12" s="6" t="s">
        <v>271</v>
      </c>
      <c r="V12" s="32" t="s">
        <v>202</v>
      </c>
      <c r="W12" s="32" t="s">
        <v>203</v>
      </c>
      <c r="X12" s="32" t="s">
        <v>272</v>
      </c>
      <c r="Y12" s="32" t="s">
        <v>249</v>
      </c>
      <c r="Z12" s="32" t="s">
        <v>250</v>
      </c>
      <c r="AA12" s="32" t="s">
        <v>251</v>
      </c>
      <c r="AB12" s="32" t="s">
        <v>252</v>
      </c>
      <c r="AC12" s="32" t="s">
        <v>253</v>
      </c>
      <c r="AD12" s="32" t="s">
        <v>273</v>
      </c>
      <c r="AE12" s="32" t="s">
        <v>58</v>
      </c>
      <c r="AF12" s="32" t="s">
        <v>274</v>
      </c>
      <c r="AG12" s="46" t="s">
        <v>59</v>
      </c>
    </row>
    <row r="13" spans="1:33" ht="300" x14ac:dyDescent="0.2">
      <c r="A13" s="72" t="s">
        <v>2009</v>
      </c>
      <c r="B13" s="38" t="s">
        <v>275</v>
      </c>
      <c r="C13" s="22" t="s">
        <v>276</v>
      </c>
      <c r="D13" s="22" t="s">
        <v>277</v>
      </c>
      <c r="E13" s="64">
        <f>SUMIF('Por actividad (2)'!A:A,'Iniciativas (2)'!A13,'Por actividad (2)'!N:N)</f>
        <v>0</v>
      </c>
      <c r="F13" s="65" t="s">
        <v>37</v>
      </c>
      <c r="G13" s="66" t="s">
        <v>191</v>
      </c>
      <c r="H13" s="68"/>
      <c r="I13" s="22" t="s">
        <v>278</v>
      </c>
      <c r="J13" s="49" t="s">
        <v>279</v>
      </c>
      <c r="K13" s="22" t="s">
        <v>280</v>
      </c>
      <c r="L13" s="23" t="s">
        <v>265</v>
      </c>
      <c r="M13" s="23" t="s">
        <v>281</v>
      </c>
      <c r="N13" s="31" t="s">
        <v>267</v>
      </c>
      <c r="O13" s="31" t="s">
        <v>268</v>
      </c>
      <c r="P13" s="32" t="s">
        <v>46</v>
      </c>
      <c r="Q13" s="49" t="s">
        <v>282</v>
      </c>
      <c r="R13" s="32" t="s">
        <v>48</v>
      </c>
      <c r="S13" s="32" t="s">
        <v>203</v>
      </c>
      <c r="T13" s="6" t="s">
        <v>271</v>
      </c>
      <c r="V13" s="32" t="s">
        <v>202</v>
      </c>
      <c r="W13" s="32" t="s">
        <v>203</v>
      </c>
      <c r="X13" s="32" t="s">
        <v>272</v>
      </c>
      <c r="Y13" s="32" t="s">
        <v>249</v>
      </c>
      <c r="Z13" s="32" t="s">
        <v>250</v>
      </c>
      <c r="AA13" s="32" t="s">
        <v>251</v>
      </c>
      <c r="AB13" s="32" t="s">
        <v>252</v>
      </c>
      <c r="AC13" s="32" t="s">
        <v>253</v>
      </c>
      <c r="AD13" s="32" t="s">
        <v>273</v>
      </c>
      <c r="AE13" s="32" t="s">
        <v>58</v>
      </c>
      <c r="AF13" s="32" t="s">
        <v>274</v>
      </c>
      <c r="AG13" s="46" t="s">
        <v>59</v>
      </c>
    </row>
    <row r="14" spans="1:33" ht="165" x14ac:dyDescent="0.2">
      <c r="A14" s="72" t="s">
        <v>283</v>
      </c>
      <c r="B14" s="38" t="s">
        <v>284</v>
      </c>
      <c r="C14" s="22" t="s">
        <v>285</v>
      </c>
      <c r="D14" s="22" t="s">
        <v>286</v>
      </c>
      <c r="E14" s="64">
        <f>SUMIF('Por actividad (2)'!A:A,'Iniciativas (2)'!A14,'Por actividad (2)'!N:N)</f>
        <v>59560.538116591932</v>
      </c>
      <c r="F14" s="65" t="s">
        <v>37</v>
      </c>
      <c r="G14" s="66" t="s">
        <v>38</v>
      </c>
      <c r="H14" s="68"/>
      <c r="I14" s="22" t="s">
        <v>287</v>
      </c>
      <c r="J14" s="31" t="s">
        <v>288</v>
      </c>
      <c r="K14" s="22" t="s">
        <v>289</v>
      </c>
      <c r="L14" s="23" t="s">
        <v>290</v>
      </c>
      <c r="M14" s="23" t="s">
        <v>291</v>
      </c>
      <c r="N14" s="31" t="s">
        <v>292</v>
      </c>
      <c r="O14" s="31" t="s">
        <v>293</v>
      </c>
      <c r="P14" s="32" t="s">
        <v>46</v>
      </c>
      <c r="Q14" s="31" t="s">
        <v>294</v>
      </c>
      <c r="R14" s="32" t="s">
        <v>48</v>
      </c>
      <c r="S14" s="32" t="s">
        <v>134</v>
      </c>
      <c r="T14" s="9" t="s">
        <v>295</v>
      </c>
      <c r="V14" s="32" t="s">
        <v>134</v>
      </c>
      <c r="W14" s="32" t="s">
        <v>134</v>
      </c>
      <c r="X14" s="32" t="s">
        <v>296</v>
      </c>
      <c r="Y14" s="32" t="s">
        <v>158</v>
      </c>
      <c r="Z14" s="32" t="s">
        <v>297</v>
      </c>
      <c r="AA14" s="32" t="s">
        <v>160</v>
      </c>
      <c r="AB14" s="32" t="s">
        <v>298</v>
      </c>
      <c r="AC14" s="32" t="s">
        <v>162</v>
      </c>
      <c r="AD14" s="32" t="s">
        <v>299</v>
      </c>
      <c r="AE14" s="32" t="s">
        <v>58</v>
      </c>
      <c r="AF14" s="32"/>
      <c r="AG14" s="46" t="s">
        <v>59</v>
      </c>
    </row>
    <row r="15" spans="1:33" ht="180" x14ac:dyDescent="0.2">
      <c r="A15" s="72" t="s">
        <v>300</v>
      </c>
      <c r="B15" s="38" t="s">
        <v>301</v>
      </c>
      <c r="C15" s="22" t="s">
        <v>302</v>
      </c>
      <c r="D15" s="22" t="s">
        <v>303</v>
      </c>
      <c r="E15" s="64">
        <f>SUMIF('Por actividad (2)'!A:A,'Iniciativas (2)'!A15,'Por actividad (2)'!N:N)</f>
        <v>70748.87892376681</v>
      </c>
      <c r="F15" s="65" t="s">
        <v>261</v>
      </c>
      <c r="G15" s="66" t="s">
        <v>103</v>
      </c>
      <c r="H15" s="68"/>
      <c r="I15" s="22" t="s">
        <v>304</v>
      </c>
      <c r="J15" s="31" t="s">
        <v>305</v>
      </c>
      <c r="K15" s="22" t="s">
        <v>306</v>
      </c>
      <c r="L15" s="23" t="s">
        <v>307</v>
      </c>
      <c r="M15" s="23" t="s">
        <v>308</v>
      </c>
      <c r="N15" s="31" t="s">
        <v>309</v>
      </c>
      <c r="O15" s="31" t="s">
        <v>310</v>
      </c>
      <c r="P15" s="32" t="s">
        <v>46</v>
      </c>
      <c r="Q15" s="31" t="s">
        <v>311</v>
      </c>
      <c r="R15" s="32" t="s">
        <v>48</v>
      </c>
      <c r="S15" s="32" t="s">
        <v>90</v>
      </c>
      <c r="T15" s="9" t="s">
        <v>295</v>
      </c>
      <c r="V15" s="32" t="s">
        <v>312</v>
      </c>
      <c r="W15" s="32" t="s">
        <v>312</v>
      </c>
      <c r="X15" s="32" t="s">
        <v>313</v>
      </c>
      <c r="Y15" s="32" t="s">
        <v>158</v>
      </c>
      <c r="Z15" s="32" t="s">
        <v>314</v>
      </c>
      <c r="AA15" s="32" t="s">
        <v>181</v>
      </c>
      <c r="AB15" s="32" t="s">
        <v>315</v>
      </c>
      <c r="AC15" s="32" t="s">
        <v>162</v>
      </c>
      <c r="AD15" s="32" t="s">
        <v>316</v>
      </c>
      <c r="AE15" s="32" t="s">
        <v>58</v>
      </c>
      <c r="AF15" s="32" t="s">
        <v>317</v>
      </c>
      <c r="AG15" s="46" t="s">
        <v>318</v>
      </c>
    </row>
    <row r="16" spans="1:33" ht="150" x14ac:dyDescent="0.2">
      <c r="A16" s="72" t="s">
        <v>319</v>
      </c>
      <c r="B16" s="38" t="s">
        <v>320</v>
      </c>
      <c r="C16" s="22" t="s">
        <v>321</v>
      </c>
      <c r="D16" s="22" t="s">
        <v>322</v>
      </c>
      <c r="E16" s="64">
        <f>SUMIF('Por actividad (2)'!A:A,'Iniciativas (2)'!A16,'Por actividad (2)'!N:N)</f>
        <v>52968.609865470855</v>
      </c>
      <c r="F16" s="65" t="s">
        <v>37</v>
      </c>
      <c r="G16" s="66" t="s">
        <v>103</v>
      </c>
      <c r="H16" s="68"/>
      <c r="I16" s="22" t="s">
        <v>323</v>
      </c>
      <c r="J16" s="31" t="s">
        <v>324</v>
      </c>
      <c r="K16" s="22" t="s">
        <v>325</v>
      </c>
      <c r="L16" s="23" t="s">
        <v>326</v>
      </c>
      <c r="M16" s="23" t="s">
        <v>327</v>
      </c>
      <c r="N16" s="31" t="s">
        <v>328</v>
      </c>
      <c r="O16" s="31" t="s">
        <v>329</v>
      </c>
      <c r="P16" s="32" t="s">
        <v>46</v>
      </c>
      <c r="Q16" s="31" t="s">
        <v>330</v>
      </c>
      <c r="R16" s="32" t="s">
        <v>48</v>
      </c>
      <c r="S16" s="32" t="s">
        <v>90</v>
      </c>
      <c r="T16" s="10" t="s">
        <v>331</v>
      </c>
      <c r="V16" s="32" t="s">
        <v>90</v>
      </c>
      <c r="W16" s="32" t="s">
        <v>90</v>
      </c>
      <c r="X16" s="32" t="s">
        <v>332</v>
      </c>
      <c r="Y16" s="32" t="s">
        <v>158</v>
      </c>
      <c r="Z16" s="32" t="s">
        <v>333</v>
      </c>
      <c r="AA16" s="32" t="s">
        <v>160</v>
      </c>
      <c r="AB16" s="32" t="s">
        <v>334</v>
      </c>
      <c r="AC16" s="32" t="s">
        <v>209</v>
      </c>
      <c r="AD16" s="32" t="s">
        <v>335</v>
      </c>
      <c r="AE16" s="32" t="s">
        <v>58</v>
      </c>
      <c r="AF16" s="32" t="s">
        <v>336</v>
      </c>
      <c r="AG16" s="46" t="s">
        <v>318</v>
      </c>
    </row>
    <row r="17" spans="1:33" ht="135" x14ac:dyDescent="0.2">
      <c r="A17" s="72" t="s">
        <v>337</v>
      </c>
      <c r="B17" s="38" t="s">
        <v>338</v>
      </c>
      <c r="C17" s="22" t="s">
        <v>339</v>
      </c>
      <c r="D17" s="22" t="s">
        <v>340</v>
      </c>
      <c r="E17" s="64">
        <f>SUMIF('Por actividad (2)'!A:A,'Iniciativas (2)'!A17,'Por actividad (2)'!N:N)</f>
        <v>64358.744394618836</v>
      </c>
      <c r="F17" s="65" t="s">
        <v>261</v>
      </c>
      <c r="G17" s="66" t="s">
        <v>191</v>
      </c>
      <c r="H17" s="68"/>
      <c r="I17" s="22" t="s">
        <v>341</v>
      </c>
      <c r="J17" s="31" t="s">
        <v>342</v>
      </c>
      <c r="K17" s="22" t="s">
        <v>343</v>
      </c>
      <c r="L17" s="23" t="s">
        <v>232</v>
      </c>
      <c r="M17" s="23" t="s">
        <v>344</v>
      </c>
      <c r="N17" s="31" t="s">
        <v>345</v>
      </c>
      <c r="O17" s="31" t="s">
        <v>346</v>
      </c>
      <c r="P17" s="32" t="s">
        <v>46</v>
      </c>
      <c r="Q17" s="31" t="s">
        <v>347</v>
      </c>
      <c r="R17" s="32" t="s">
        <v>270</v>
      </c>
      <c r="S17" s="32" t="s">
        <v>49</v>
      </c>
      <c r="T17" s="12" t="s">
        <v>50</v>
      </c>
      <c r="V17" s="32" t="s">
        <v>348</v>
      </c>
      <c r="W17" s="32" t="s">
        <v>348</v>
      </c>
      <c r="X17" s="32" t="s">
        <v>349</v>
      </c>
      <c r="Y17" s="32" t="s">
        <v>52</v>
      </c>
      <c r="Z17" s="32" t="s">
        <v>350</v>
      </c>
      <c r="AA17" s="32" t="s">
        <v>54</v>
      </c>
      <c r="AB17" s="32" t="s">
        <v>351</v>
      </c>
      <c r="AC17" s="32" t="s">
        <v>352</v>
      </c>
      <c r="AD17" s="32" t="s">
        <v>353</v>
      </c>
      <c r="AE17" s="32" t="s">
        <v>58</v>
      </c>
      <c r="AF17" s="32" t="s">
        <v>354</v>
      </c>
      <c r="AG17" s="46" t="s">
        <v>355</v>
      </c>
    </row>
    <row r="18" spans="1:33" ht="75" x14ac:dyDescent="0.2">
      <c r="A18" s="72" t="s">
        <v>356</v>
      </c>
      <c r="B18" s="38" t="s">
        <v>357</v>
      </c>
      <c r="C18" s="22" t="s">
        <v>358</v>
      </c>
      <c r="D18" s="22" t="s">
        <v>359</v>
      </c>
      <c r="E18" s="64">
        <f>SUMIF('Por actividad (2)'!A:A,'Iniciativas (2)'!A18,'Por actividad (2)'!N:N)</f>
        <v>45170.403587443943</v>
      </c>
      <c r="F18" s="65" t="s">
        <v>261</v>
      </c>
      <c r="G18" s="66" t="s">
        <v>191</v>
      </c>
      <c r="H18" s="68"/>
      <c r="I18" s="22" t="s">
        <v>360</v>
      </c>
      <c r="J18" s="31" t="s">
        <v>361</v>
      </c>
      <c r="K18" s="22" t="s">
        <v>362</v>
      </c>
      <c r="L18" s="23" t="s">
        <v>363</v>
      </c>
      <c r="M18" s="23"/>
      <c r="N18" s="31" t="s">
        <v>364</v>
      </c>
      <c r="O18" s="31" t="s">
        <v>365</v>
      </c>
      <c r="P18" s="32" t="s">
        <v>46</v>
      </c>
      <c r="Q18" s="31" t="s">
        <v>366</v>
      </c>
      <c r="R18" s="32" t="s">
        <v>270</v>
      </c>
      <c r="S18" s="32" t="s">
        <v>134</v>
      </c>
      <c r="T18" s="12" t="s">
        <v>367</v>
      </c>
      <c r="V18" s="32" t="s">
        <v>368</v>
      </c>
      <c r="W18" s="32" t="s">
        <v>368</v>
      </c>
      <c r="X18" s="32" t="s">
        <v>369</v>
      </c>
      <c r="Y18" s="32" t="s">
        <v>370</v>
      </c>
      <c r="Z18" s="32" t="s">
        <v>371</v>
      </c>
      <c r="AA18" s="32" t="s">
        <v>372</v>
      </c>
      <c r="AB18" s="32" t="s">
        <v>373</v>
      </c>
      <c r="AC18" s="32" t="s">
        <v>162</v>
      </c>
      <c r="AD18" s="32" t="s">
        <v>374</v>
      </c>
      <c r="AE18" s="32" t="s">
        <v>58</v>
      </c>
      <c r="AF18" s="32" t="s">
        <v>375</v>
      </c>
      <c r="AG18" s="46" t="s">
        <v>318</v>
      </c>
    </row>
    <row r="19" spans="1:33" ht="60" x14ac:dyDescent="0.2">
      <c r="A19" s="72" t="s">
        <v>376</v>
      </c>
      <c r="B19" s="38" t="s">
        <v>377</v>
      </c>
      <c r="C19" s="22" t="s">
        <v>378</v>
      </c>
      <c r="D19" s="22" t="s">
        <v>379</v>
      </c>
      <c r="E19" s="64">
        <f>SUMIF('Por actividad (2)'!A:A,'Iniciativas (2)'!A19,'Por actividad (2)'!N:N)</f>
        <v>104147.98206278027</v>
      </c>
      <c r="F19" s="65" t="s">
        <v>261</v>
      </c>
      <c r="G19" s="66" t="s">
        <v>380</v>
      </c>
      <c r="H19" s="68"/>
      <c r="I19" s="22" t="s">
        <v>381</v>
      </c>
      <c r="J19" s="31" t="s">
        <v>382</v>
      </c>
      <c r="K19" s="22" t="s">
        <v>383</v>
      </c>
      <c r="L19" s="23" t="s">
        <v>384</v>
      </c>
      <c r="M19" s="23"/>
      <c r="N19" s="31" t="s">
        <v>385</v>
      </c>
      <c r="O19" s="31" t="s">
        <v>386</v>
      </c>
      <c r="P19" s="32" t="s">
        <v>46</v>
      </c>
      <c r="Q19" s="31" t="s">
        <v>387</v>
      </c>
      <c r="R19" s="32" t="s">
        <v>270</v>
      </c>
      <c r="S19" s="32" t="s">
        <v>49</v>
      </c>
      <c r="T19" s="12" t="s">
        <v>91</v>
      </c>
      <c r="V19" s="32" t="s">
        <v>49</v>
      </c>
      <c r="W19" s="32" t="s">
        <v>49</v>
      </c>
      <c r="X19" s="32" t="s">
        <v>388</v>
      </c>
      <c r="Y19" s="32" t="s">
        <v>370</v>
      </c>
      <c r="Z19" s="32" t="s">
        <v>389</v>
      </c>
      <c r="AA19" s="32" t="s">
        <v>372</v>
      </c>
      <c r="AB19" s="32" t="s">
        <v>373</v>
      </c>
      <c r="AC19" s="32" t="s">
        <v>162</v>
      </c>
      <c r="AD19" s="32" t="s">
        <v>390</v>
      </c>
      <c r="AE19" s="32" t="s">
        <v>391</v>
      </c>
      <c r="AF19" s="32"/>
      <c r="AG19" s="46" t="s">
        <v>59</v>
      </c>
    </row>
    <row r="20" spans="1:33" ht="75" x14ac:dyDescent="0.2">
      <c r="A20" s="72" t="s">
        <v>392</v>
      </c>
      <c r="B20" s="38" t="s">
        <v>393</v>
      </c>
      <c r="C20" s="22" t="s">
        <v>394</v>
      </c>
      <c r="D20" s="22" t="s">
        <v>395</v>
      </c>
      <c r="E20" s="64">
        <f>SUMIF('Por actividad (2)'!A:A,'Iniciativas (2)'!A20,'Por actividad (2)'!N:N)</f>
        <v>46174.887892376682</v>
      </c>
      <c r="F20" s="65" t="s">
        <v>261</v>
      </c>
      <c r="G20" s="66" t="s">
        <v>191</v>
      </c>
      <c r="H20" s="68"/>
      <c r="I20" s="22" t="s">
        <v>396</v>
      </c>
      <c r="J20" s="31" t="s">
        <v>397</v>
      </c>
      <c r="K20" s="22" t="s">
        <v>398</v>
      </c>
      <c r="L20" s="23" t="s">
        <v>399</v>
      </c>
      <c r="M20" s="23" t="s">
        <v>400</v>
      </c>
      <c r="N20" s="31" t="s">
        <v>401</v>
      </c>
      <c r="O20" s="31" t="s">
        <v>402</v>
      </c>
      <c r="P20" s="32" t="s">
        <v>46</v>
      </c>
      <c r="Q20" s="31" t="s">
        <v>403</v>
      </c>
      <c r="R20" s="32" t="s">
        <v>270</v>
      </c>
      <c r="S20" s="32" t="s">
        <v>134</v>
      </c>
      <c r="T20" s="13" t="s">
        <v>113</v>
      </c>
      <c r="V20" s="32" t="s">
        <v>134</v>
      </c>
      <c r="W20" s="32" t="s">
        <v>134</v>
      </c>
      <c r="X20" s="32" t="s">
        <v>404</v>
      </c>
      <c r="Y20" s="32" t="s">
        <v>405</v>
      </c>
      <c r="Z20" s="32" t="s">
        <v>406</v>
      </c>
      <c r="AA20" s="32" t="s">
        <v>181</v>
      </c>
      <c r="AB20" s="32" t="s">
        <v>407</v>
      </c>
      <c r="AC20" s="32" t="s">
        <v>209</v>
      </c>
      <c r="AD20" s="32" t="s">
        <v>408</v>
      </c>
      <c r="AE20" s="32" t="s">
        <v>58</v>
      </c>
      <c r="AF20" s="32"/>
      <c r="AG20" s="46" t="s">
        <v>59</v>
      </c>
    </row>
    <row r="21" spans="1:33" ht="150" x14ac:dyDescent="0.2">
      <c r="A21" s="72" t="s">
        <v>409</v>
      </c>
      <c r="B21" s="38" t="s">
        <v>410</v>
      </c>
      <c r="C21" s="22" t="s">
        <v>411</v>
      </c>
      <c r="D21" s="22" t="s">
        <v>412</v>
      </c>
      <c r="E21" s="64">
        <f>SUMIF('Por actividad (2)'!A:A,'Iniciativas (2)'!A21,'Por actividad (2)'!N:N)</f>
        <v>31919.282511210757</v>
      </c>
      <c r="F21" s="65" t="s">
        <v>261</v>
      </c>
      <c r="G21" s="66" t="s">
        <v>191</v>
      </c>
      <c r="H21" s="68"/>
      <c r="I21" s="22" t="s">
        <v>413</v>
      </c>
      <c r="J21" s="31" t="s">
        <v>414</v>
      </c>
      <c r="K21" s="22" t="s">
        <v>415</v>
      </c>
      <c r="L21" s="23" t="s">
        <v>416</v>
      </c>
      <c r="M21" s="23"/>
      <c r="N21" s="31" t="s">
        <v>417</v>
      </c>
      <c r="O21" s="31" t="s">
        <v>418</v>
      </c>
      <c r="P21" s="32" t="s">
        <v>46</v>
      </c>
      <c r="Q21" s="31" t="s">
        <v>419</v>
      </c>
      <c r="R21" s="32" t="s">
        <v>270</v>
      </c>
      <c r="S21" s="32" t="s">
        <v>203</v>
      </c>
      <c r="T21" s="14" t="s">
        <v>420</v>
      </c>
      <c r="V21" s="32" t="s">
        <v>421</v>
      </c>
      <c r="W21" s="32" t="s">
        <v>49</v>
      </c>
      <c r="X21" s="32" t="s">
        <v>422</v>
      </c>
      <c r="Y21" s="32" t="s">
        <v>423</v>
      </c>
      <c r="Z21" s="32" t="s">
        <v>424</v>
      </c>
      <c r="AA21" s="32" t="s">
        <v>425</v>
      </c>
      <c r="AB21" s="32" t="s">
        <v>426</v>
      </c>
      <c r="AC21" s="32" t="s">
        <v>427</v>
      </c>
      <c r="AD21" s="32" t="s">
        <v>428</v>
      </c>
      <c r="AE21" s="32" t="s">
        <v>58</v>
      </c>
      <c r="AF21" s="32" t="s">
        <v>429</v>
      </c>
      <c r="AG21" s="46" t="s">
        <v>430</v>
      </c>
    </row>
    <row r="22" spans="1:33" ht="135" x14ac:dyDescent="0.2">
      <c r="A22" s="72" t="s">
        <v>431</v>
      </c>
      <c r="B22" s="38" t="s">
        <v>432</v>
      </c>
      <c r="C22" s="22" t="s">
        <v>433</v>
      </c>
      <c r="D22" s="22" t="s">
        <v>434</v>
      </c>
      <c r="E22" s="64">
        <f>SUMIF('Por actividad (2)'!A:A,'Iniciativas (2)'!A22,'Por actividad (2)'!N:N)</f>
        <v>91466.367713004496</v>
      </c>
      <c r="F22" s="65" t="s">
        <v>261</v>
      </c>
      <c r="G22" s="66" t="s">
        <v>191</v>
      </c>
      <c r="H22" s="68"/>
      <c r="I22" s="22" t="s">
        <v>435</v>
      </c>
      <c r="J22" s="31" t="s">
        <v>436</v>
      </c>
      <c r="K22" s="22" t="s">
        <v>437</v>
      </c>
      <c r="L22" s="23" t="s">
        <v>438</v>
      </c>
      <c r="M22" s="23"/>
      <c r="N22" s="31" t="s">
        <v>439</v>
      </c>
      <c r="O22" s="31" t="s">
        <v>440</v>
      </c>
      <c r="P22" s="32" t="s">
        <v>46</v>
      </c>
      <c r="Q22" s="31" t="s">
        <v>441</v>
      </c>
      <c r="R22" s="32" t="s">
        <v>270</v>
      </c>
      <c r="S22" s="32" t="s">
        <v>203</v>
      </c>
      <c r="T22" s="14" t="s">
        <v>442</v>
      </c>
      <c r="V22" s="32" t="s">
        <v>443</v>
      </c>
      <c r="W22" s="32" t="s">
        <v>203</v>
      </c>
      <c r="X22" s="32" t="s">
        <v>444</v>
      </c>
      <c r="Y22" s="32" t="s">
        <v>445</v>
      </c>
      <c r="Z22" s="32" t="s">
        <v>446</v>
      </c>
      <c r="AA22" s="32" t="s">
        <v>447</v>
      </c>
      <c r="AB22" s="32" t="s">
        <v>448</v>
      </c>
      <c r="AC22" s="32" t="s">
        <v>449</v>
      </c>
      <c r="AD22" s="32" t="s">
        <v>450</v>
      </c>
      <c r="AE22" s="32" t="s">
        <v>451</v>
      </c>
      <c r="AF22" s="32" t="s">
        <v>452</v>
      </c>
      <c r="AG22" s="46" t="s">
        <v>453</v>
      </c>
    </row>
    <row r="23" spans="1:33" ht="75" x14ac:dyDescent="0.2">
      <c r="A23" s="72" t="s">
        <v>454</v>
      </c>
      <c r="B23" s="38" t="s">
        <v>455</v>
      </c>
      <c r="C23" s="22" t="s">
        <v>456</v>
      </c>
      <c r="D23" s="22" t="s">
        <v>457</v>
      </c>
      <c r="E23" s="64">
        <f>SUMIF('Por actividad (2)'!A:A,'Iniciativas (2)'!A23,'Por actividad (2)'!N:N)</f>
        <v>48336.322869955155</v>
      </c>
      <c r="F23" s="65" t="s">
        <v>261</v>
      </c>
      <c r="G23" s="66" t="s">
        <v>191</v>
      </c>
      <c r="H23" s="68"/>
      <c r="I23" s="22" t="s">
        <v>458</v>
      </c>
      <c r="J23" s="31" t="s">
        <v>459</v>
      </c>
      <c r="K23" s="22" t="s">
        <v>460</v>
      </c>
      <c r="L23" s="23" t="s">
        <v>461</v>
      </c>
      <c r="M23" s="23" t="s">
        <v>462</v>
      </c>
      <c r="N23" s="31" t="s">
        <v>463</v>
      </c>
      <c r="O23" s="31" t="s">
        <v>464</v>
      </c>
      <c r="P23" s="32" t="s">
        <v>46</v>
      </c>
      <c r="Q23" s="31" t="s">
        <v>465</v>
      </c>
      <c r="R23" s="32" t="s">
        <v>270</v>
      </c>
      <c r="S23" s="32" t="s">
        <v>203</v>
      </c>
      <c r="T23" s="15" t="s">
        <v>466</v>
      </c>
      <c r="V23" s="32" t="s">
        <v>443</v>
      </c>
      <c r="W23" s="32" t="s">
        <v>203</v>
      </c>
      <c r="X23" s="32" t="s">
        <v>467</v>
      </c>
      <c r="Y23" s="32" t="s">
        <v>468</v>
      </c>
      <c r="Z23" s="32" t="s">
        <v>469</v>
      </c>
      <c r="AA23" s="32" t="s">
        <v>470</v>
      </c>
      <c r="AB23" s="32" t="s">
        <v>471</v>
      </c>
      <c r="AC23" s="32" t="s">
        <v>209</v>
      </c>
      <c r="AD23" s="32" t="s">
        <v>472</v>
      </c>
      <c r="AE23" s="32" t="s">
        <v>58</v>
      </c>
      <c r="AF23" s="32"/>
      <c r="AG23" s="46" t="s">
        <v>59</v>
      </c>
    </row>
    <row r="24" spans="1:33" ht="90" x14ac:dyDescent="0.2">
      <c r="A24" s="72" t="s">
        <v>473</v>
      </c>
      <c r="B24" s="38" t="s">
        <v>474</v>
      </c>
      <c r="C24" s="22" t="s">
        <v>475</v>
      </c>
      <c r="D24" s="22" t="s">
        <v>476</v>
      </c>
      <c r="E24" s="64">
        <f>SUMIF('Por actividad (2)'!A:A,'Iniciativas (2)'!A24,'Por actividad (2)'!N:N)</f>
        <v>51551.569506726461</v>
      </c>
      <c r="F24" s="65" t="s">
        <v>261</v>
      </c>
      <c r="G24" s="66" t="s">
        <v>191</v>
      </c>
      <c r="H24" s="68"/>
      <c r="I24" s="22" t="s">
        <v>477</v>
      </c>
      <c r="J24" s="31" t="s">
        <v>478</v>
      </c>
      <c r="K24" s="22" t="s">
        <v>479</v>
      </c>
      <c r="L24" s="23" t="s">
        <v>232</v>
      </c>
      <c r="M24" s="23"/>
      <c r="N24" s="31" t="s">
        <v>480</v>
      </c>
      <c r="O24" s="31" t="s">
        <v>481</v>
      </c>
      <c r="P24" s="32" t="s">
        <v>46</v>
      </c>
      <c r="Q24" s="31" t="s">
        <v>482</v>
      </c>
      <c r="R24" s="32" t="s">
        <v>270</v>
      </c>
      <c r="S24" s="32" t="s">
        <v>203</v>
      </c>
      <c r="T24" s="15" t="s">
        <v>201</v>
      </c>
      <c r="V24" s="32" t="s">
        <v>483</v>
      </c>
      <c r="W24" s="32" t="s">
        <v>203</v>
      </c>
      <c r="X24" s="32" t="s">
        <v>484</v>
      </c>
      <c r="Y24" s="32" t="s">
        <v>205</v>
      </c>
      <c r="Z24" s="32" t="s">
        <v>485</v>
      </c>
      <c r="AA24" s="32" t="s">
        <v>486</v>
      </c>
      <c r="AB24" s="32" t="s">
        <v>487</v>
      </c>
      <c r="AC24" s="32" t="s">
        <v>209</v>
      </c>
      <c r="AD24" s="32" t="s">
        <v>488</v>
      </c>
      <c r="AE24" s="32" t="s">
        <v>58</v>
      </c>
      <c r="AF24" s="32" t="s">
        <v>489</v>
      </c>
      <c r="AG24" s="46" t="s">
        <v>490</v>
      </c>
    </row>
    <row r="25" spans="1:33" ht="75" x14ac:dyDescent="0.2">
      <c r="A25" s="72" t="s">
        <v>491</v>
      </c>
      <c r="B25" s="38" t="s">
        <v>492</v>
      </c>
      <c r="C25" s="22" t="s">
        <v>493</v>
      </c>
      <c r="D25" s="22" t="s">
        <v>494</v>
      </c>
      <c r="E25" s="64">
        <f>SUMIF('Por actividad (2)'!A:A,'Iniciativas (2)'!A25,'Por actividad (2)'!N:N)</f>
        <v>58941.704035874427</v>
      </c>
      <c r="F25" s="65" t="s">
        <v>261</v>
      </c>
      <c r="G25" s="66" t="s">
        <v>191</v>
      </c>
      <c r="H25" s="68"/>
      <c r="I25" s="22" t="s">
        <v>495</v>
      </c>
      <c r="J25" s="31" t="s">
        <v>496</v>
      </c>
      <c r="K25" s="22" t="s">
        <v>497</v>
      </c>
      <c r="L25" s="23" t="s">
        <v>498</v>
      </c>
      <c r="M25" s="23"/>
      <c r="N25" s="31" t="s">
        <v>499</v>
      </c>
      <c r="O25" s="31" t="s">
        <v>500</v>
      </c>
      <c r="P25" s="32" t="s">
        <v>46</v>
      </c>
      <c r="Q25" s="31" t="s">
        <v>501</v>
      </c>
      <c r="R25" s="32" t="s">
        <v>270</v>
      </c>
      <c r="S25" s="32" t="s">
        <v>203</v>
      </c>
      <c r="T25" s="15" t="s">
        <v>201</v>
      </c>
      <c r="V25" s="32" t="s">
        <v>483</v>
      </c>
      <c r="W25" s="32" t="s">
        <v>203</v>
      </c>
      <c r="X25" s="32" t="s">
        <v>502</v>
      </c>
      <c r="Y25" s="32" t="s">
        <v>503</v>
      </c>
      <c r="Z25" s="32" t="s">
        <v>504</v>
      </c>
      <c r="AA25" s="32" t="s">
        <v>486</v>
      </c>
      <c r="AB25" s="32" t="s">
        <v>505</v>
      </c>
      <c r="AC25" s="32" t="s">
        <v>183</v>
      </c>
      <c r="AD25" s="32" t="s">
        <v>506</v>
      </c>
      <c r="AE25" s="32" t="s">
        <v>58</v>
      </c>
      <c r="AF25" s="32" t="s">
        <v>507</v>
      </c>
      <c r="AG25" s="46" t="s">
        <v>318</v>
      </c>
    </row>
    <row r="26" spans="1:33" ht="60" x14ac:dyDescent="0.2">
      <c r="A26" s="72" t="s">
        <v>508</v>
      </c>
      <c r="B26" s="38" t="s">
        <v>509</v>
      </c>
      <c r="C26" s="22" t="s">
        <v>510</v>
      </c>
      <c r="D26" s="22" t="s">
        <v>511</v>
      </c>
      <c r="E26" s="64">
        <f>SUMIF('Por actividad (2)'!A:A,'Iniciativas (2)'!A26,'Por actividad (2)'!N:N)</f>
        <v>33905.829596412557</v>
      </c>
      <c r="F26" s="65" t="s">
        <v>236</v>
      </c>
      <c r="G26" s="66" t="s">
        <v>191</v>
      </c>
      <c r="H26" s="68"/>
      <c r="I26" s="22" t="s">
        <v>512</v>
      </c>
      <c r="J26" s="31" t="s">
        <v>513</v>
      </c>
      <c r="K26" s="22" t="s">
        <v>514</v>
      </c>
      <c r="L26" s="23" t="s">
        <v>515</v>
      </c>
      <c r="M26" s="23" t="s">
        <v>516</v>
      </c>
      <c r="N26" s="31" t="s">
        <v>517</v>
      </c>
      <c r="O26" s="31" t="s">
        <v>518</v>
      </c>
      <c r="P26" s="32" t="s">
        <v>46</v>
      </c>
      <c r="Q26" s="31" t="s">
        <v>519</v>
      </c>
      <c r="R26" s="32" t="s">
        <v>270</v>
      </c>
      <c r="S26" s="32" t="s">
        <v>203</v>
      </c>
      <c r="T26" s="16" t="s">
        <v>246</v>
      </c>
      <c r="V26" s="32" t="s">
        <v>247</v>
      </c>
      <c r="W26" s="32" t="s">
        <v>203</v>
      </c>
      <c r="X26" s="32" t="s">
        <v>520</v>
      </c>
      <c r="Y26" s="32" t="s">
        <v>249</v>
      </c>
      <c r="Z26" s="32" t="s">
        <v>521</v>
      </c>
      <c r="AA26" s="32" t="s">
        <v>251</v>
      </c>
      <c r="AB26" s="32" t="s">
        <v>522</v>
      </c>
      <c r="AC26" s="32" t="s">
        <v>253</v>
      </c>
      <c r="AD26" s="32" t="s">
        <v>523</v>
      </c>
      <c r="AE26" s="32" t="s">
        <v>58</v>
      </c>
      <c r="AF26" s="32" t="s">
        <v>524</v>
      </c>
      <c r="AG26" s="46" t="s">
        <v>59</v>
      </c>
    </row>
    <row r="27" spans="1:33" ht="90" x14ac:dyDescent="0.2">
      <c r="A27" s="72" t="s">
        <v>525</v>
      </c>
      <c r="B27" s="38" t="s">
        <v>526</v>
      </c>
      <c r="C27" s="22" t="s">
        <v>527</v>
      </c>
      <c r="D27" s="22" t="s">
        <v>528</v>
      </c>
      <c r="E27" s="64">
        <f>SUMIF('Por actividad (2)'!A:A,'Iniciativas (2)'!A27,'Por actividad (2)'!N:N)</f>
        <v>13071.748878923767</v>
      </c>
      <c r="F27" s="65" t="s">
        <v>236</v>
      </c>
      <c r="G27" s="66" t="s">
        <v>191</v>
      </c>
      <c r="H27" s="68"/>
      <c r="I27" s="22" t="s">
        <v>529</v>
      </c>
      <c r="J27" s="31" t="s">
        <v>530</v>
      </c>
      <c r="K27" s="22" t="s">
        <v>531</v>
      </c>
      <c r="L27" s="23" t="s">
        <v>532</v>
      </c>
      <c r="M27" s="23"/>
      <c r="N27" s="31" t="s">
        <v>533</v>
      </c>
      <c r="O27" s="31" t="s">
        <v>534</v>
      </c>
      <c r="P27" s="32" t="s">
        <v>46</v>
      </c>
      <c r="Q27" s="31" t="s">
        <v>535</v>
      </c>
      <c r="R27" s="32" t="s">
        <v>270</v>
      </c>
      <c r="S27" s="32" t="s">
        <v>203</v>
      </c>
      <c r="T27" s="16" t="s">
        <v>246</v>
      </c>
      <c r="V27" s="32" t="s">
        <v>247</v>
      </c>
      <c r="W27" s="32" t="s">
        <v>203</v>
      </c>
      <c r="X27" s="32" t="s">
        <v>536</v>
      </c>
      <c r="Y27" s="32" t="s">
        <v>249</v>
      </c>
      <c r="Z27" s="32" t="s">
        <v>250</v>
      </c>
      <c r="AA27" s="32" t="s">
        <v>251</v>
      </c>
      <c r="AB27" s="32" t="s">
        <v>537</v>
      </c>
      <c r="AC27" s="32" t="s">
        <v>253</v>
      </c>
      <c r="AD27" s="32" t="s">
        <v>538</v>
      </c>
      <c r="AE27" s="32" t="s">
        <v>58</v>
      </c>
      <c r="AF27" s="32" t="s">
        <v>539</v>
      </c>
      <c r="AG27" s="46" t="s">
        <v>59</v>
      </c>
    </row>
    <row r="28" spans="1:33" ht="150" x14ac:dyDescent="0.2">
      <c r="A28" s="72" t="s">
        <v>540</v>
      </c>
      <c r="B28" s="38" t="s">
        <v>541</v>
      </c>
      <c r="C28" s="22" t="s">
        <v>542</v>
      </c>
      <c r="D28" s="22" t="s">
        <v>543</v>
      </c>
      <c r="E28" s="64">
        <f>SUMIF('Por actividad (2)'!A:A,'Iniciativas (2)'!A28,'Por actividad (2)'!N:N)</f>
        <v>145632.28699551566</v>
      </c>
      <c r="F28" s="65" t="s">
        <v>261</v>
      </c>
      <c r="G28" s="66" t="s">
        <v>191</v>
      </c>
      <c r="H28" s="68"/>
      <c r="I28" s="22" t="s">
        <v>544</v>
      </c>
      <c r="J28" s="31" t="s">
        <v>545</v>
      </c>
      <c r="K28" s="22" t="s">
        <v>546</v>
      </c>
      <c r="L28" s="23" t="s">
        <v>547</v>
      </c>
      <c r="M28" s="23"/>
      <c r="N28" s="31" t="s">
        <v>548</v>
      </c>
      <c r="O28" s="31" t="s">
        <v>549</v>
      </c>
      <c r="P28" s="32" t="s">
        <v>46</v>
      </c>
      <c r="Q28" s="31" t="s">
        <v>550</v>
      </c>
      <c r="R28" s="32" t="s">
        <v>270</v>
      </c>
      <c r="S28" s="32" t="s">
        <v>203</v>
      </c>
      <c r="T28" s="12" t="s">
        <v>367</v>
      </c>
      <c r="V28" s="32" t="s">
        <v>443</v>
      </c>
      <c r="W28" s="32" t="s">
        <v>203</v>
      </c>
      <c r="X28" s="32" t="s">
        <v>551</v>
      </c>
      <c r="Y28" s="32" t="s">
        <v>552</v>
      </c>
      <c r="Z28" s="32" t="s">
        <v>553</v>
      </c>
      <c r="AA28" s="32" t="s">
        <v>554</v>
      </c>
      <c r="AB28" s="32" t="s">
        <v>554</v>
      </c>
      <c r="AC28" s="32" t="s">
        <v>228</v>
      </c>
      <c r="AD28" s="32" t="s">
        <v>555</v>
      </c>
      <c r="AE28" s="32" t="s">
        <v>58</v>
      </c>
      <c r="AF28" s="32" t="s">
        <v>556</v>
      </c>
      <c r="AG28" s="46" t="s">
        <v>557</v>
      </c>
    </row>
    <row r="29" spans="1:33" ht="135" x14ac:dyDescent="0.2">
      <c r="A29" s="72" t="s">
        <v>558</v>
      </c>
      <c r="B29" s="38" t="s">
        <v>559</v>
      </c>
      <c r="C29" s="22" t="s">
        <v>560</v>
      </c>
      <c r="D29" s="22" t="s">
        <v>561</v>
      </c>
      <c r="E29" s="64">
        <f>SUMIF('Por actividad (2)'!A:A,'Iniciativas (2)'!A29,'Por actividad (2)'!N:N)</f>
        <v>45511.210762331837</v>
      </c>
      <c r="F29" s="65" t="s">
        <v>261</v>
      </c>
      <c r="G29" s="66" t="s">
        <v>191</v>
      </c>
      <c r="H29" s="68"/>
      <c r="I29" s="22" t="s">
        <v>562</v>
      </c>
      <c r="J29" s="31" t="s">
        <v>563</v>
      </c>
      <c r="K29" s="22" t="s">
        <v>564</v>
      </c>
      <c r="L29" s="23" t="s">
        <v>565</v>
      </c>
      <c r="M29" s="23" t="s">
        <v>566</v>
      </c>
      <c r="N29" s="31" t="s">
        <v>567</v>
      </c>
      <c r="O29" s="31" t="s">
        <v>568</v>
      </c>
      <c r="P29" s="32" t="s">
        <v>46</v>
      </c>
      <c r="Q29" s="31" t="s">
        <v>569</v>
      </c>
      <c r="R29" s="32" t="s">
        <v>270</v>
      </c>
      <c r="S29" s="32" t="s">
        <v>49</v>
      </c>
      <c r="T29" s="15" t="s">
        <v>466</v>
      </c>
      <c r="V29" s="32" t="s">
        <v>225</v>
      </c>
      <c r="W29" s="32" t="s">
        <v>225</v>
      </c>
      <c r="X29" s="32" t="s">
        <v>570</v>
      </c>
      <c r="Y29" s="32" t="s">
        <v>52</v>
      </c>
      <c r="Z29" s="32" t="s">
        <v>571</v>
      </c>
      <c r="AA29" s="32" t="s">
        <v>572</v>
      </c>
      <c r="AB29" s="32" t="s">
        <v>55</v>
      </c>
      <c r="AC29" s="32" t="s">
        <v>573</v>
      </c>
      <c r="AD29" s="32" t="s">
        <v>574</v>
      </c>
      <c r="AE29" s="32" t="s">
        <v>58</v>
      </c>
      <c r="AF29" s="32" t="s">
        <v>575</v>
      </c>
      <c r="AG29" s="46" t="s">
        <v>576</v>
      </c>
    </row>
    <row r="30" spans="1:33" ht="75" x14ac:dyDescent="0.2">
      <c r="A30" s="72" t="s">
        <v>577</v>
      </c>
      <c r="B30" s="38" t="s">
        <v>578</v>
      </c>
      <c r="C30" s="22" t="s">
        <v>579</v>
      </c>
      <c r="D30" s="22" t="s">
        <v>580</v>
      </c>
      <c r="E30" s="64">
        <f>SUMIF('Por actividad (2)'!A:A,'Iniciativas (2)'!A30,'Por actividad (2)'!N:N)</f>
        <v>133964.12556053812</v>
      </c>
      <c r="F30" s="65" t="s">
        <v>261</v>
      </c>
      <c r="G30" s="66" t="s">
        <v>191</v>
      </c>
      <c r="H30" s="68"/>
      <c r="I30" s="22" t="s">
        <v>581</v>
      </c>
      <c r="J30" s="31" t="s">
        <v>582</v>
      </c>
      <c r="K30" s="22" t="s">
        <v>583</v>
      </c>
      <c r="L30" s="23" t="s">
        <v>584</v>
      </c>
      <c r="M30" s="23" t="s">
        <v>585</v>
      </c>
      <c r="N30" s="31" t="s">
        <v>586</v>
      </c>
      <c r="O30" s="31" t="s">
        <v>587</v>
      </c>
      <c r="P30" s="32" t="s">
        <v>46</v>
      </c>
      <c r="Q30" s="31" t="s">
        <v>588</v>
      </c>
      <c r="R30" s="32" t="s">
        <v>270</v>
      </c>
      <c r="S30" s="32" t="s">
        <v>134</v>
      </c>
      <c r="T30" s="12" t="s">
        <v>589</v>
      </c>
      <c r="V30" s="32" t="s">
        <v>368</v>
      </c>
      <c r="W30" s="32" t="s">
        <v>368</v>
      </c>
      <c r="X30" s="32" t="s">
        <v>590</v>
      </c>
      <c r="Y30" s="32" t="s">
        <v>591</v>
      </c>
      <c r="Z30" s="32" t="s">
        <v>592</v>
      </c>
      <c r="AA30" s="32" t="s">
        <v>593</v>
      </c>
      <c r="AB30" s="32" t="s">
        <v>594</v>
      </c>
      <c r="AC30" s="32" t="s">
        <v>595</v>
      </c>
      <c r="AD30" s="32" t="s">
        <v>596</v>
      </c>
      <c r="AE30" s="32" t="s">
        <v>58</v>
      </c>
      <c r="AF30" s="32"/>
      <c r="AG30" s="46" t="s">
        <v>59</v>
      </c>
    </row>
    <row r="31" spans="1:33" ht="75" x14ac:dyDescent="0.2">
      <c r="A31" s="72" t="s">
        <v>597</v>
      </c>
      <c r="B31" s="38" t="s">
        <v>598</v>
      </c>
      <c r="C31" s="22" t="s">
        <v>599</v>
      </c>
      <c r="D31" s="22" t="s">
        <v>600</v>
      </c>
      <c r="E31" s="64">
        <f>SUMIF('Por actividad (2)'!A:A,'Iniciativas (2)'!A31,'Por actividad (2)'!N:N)</f>
        <v>193156.9506726457</v>
      </c>
      <c r="F31" s="65" t="s">
        <v>261</v>
      </c>
      <c r="G31" s="66" t="s">
        <v>191</v>
      </c>
      <c r="H31" s="68"/>
      <c r="I31" s="22" t="s">
        <v>601</v>
      </c>
      <c r="J31" s="31" t="s">
        <v>602</v>
      </c>
      <c r="K31" s="22" t="s">
        <v>603</v>
      </c>
      <c r="L31" s="23" t="s">
        <v>604</v>
      </c>
      <c r="M31" s="23"/>
      <c r="N31" s="31" t="s">
        <v>605</v>
      </c>
      <c r="O31" s="31" t="s">
        <v>606</v>
      </c>
      <c r="P31" s="32" t="s">
        <v>46</v>
      </c>
      <c r="Q31" s="31" t="s">
        <v>607</v>
      </c>
      <c r="R31" s="32" t="s">
        <v>270</v>
      </c>
      <c r="S31" s="32" t="s">
        <v>203</v>
      </c>
      <c r="T31" s="14" t="s">
        <v>442</v>
      </c>
      <c r="V31" s="32" t="s">
        <v>608</v>
      </c>
      <c r="W31" s="32" t="s">
        <v>203</v>
      </c>
      <c r="X31" s="32" t="s">
        <v>609</v>
      </c>
      <c r="Y31" s="32" t="s">
        <v>370</v>
      </c>
      <c r="Z31" s="32" t="s">
        <v>610</v>
      </c>
      <c r="AA31" s="32" t="s">
        <v>372</v>
      </c>
      <c r="AB31" s="32" t="s">
        <v>373</v>
      </c>
      <c r="AC31" s="32" t="s">
        <v>162</v>
      </c>
      <c r="AD31" s="32" t="s">
        <v>611</v>
      </c>
      <c r="AE31" s="32" t="s">
        <v>612</v>
      </c>
      <c r="AF31" s="32"/>
      <c r="AG31" s="46" t="s">
        <v>59</v>
      </c>
    </row>
    <row r="32" spans="1:33" ht="195" x14ac:dyDescent="0.2">
      <c r="A32" s="72" t="s">
        <v>613</v>
      </c>
      <c r="B32" s="38" t="s">
        <v>614</v>
      </c>
      <c r="C32" s="22" t="s">
        <v>615</v>
      </c>
      <c r="D32" s="22" t="s">
        <v>616</v>
      </c>
      <c r="E32" s="64">
        <f>SUMIF('Por actividad (2)'!A:A,'Iniciativas (2)'!A32,'Por actividad (2)'!N:N)</f>
        <v>126614.34977578475</v>
      </c>
      <c r="F32" s="65" t="s">
        <v>261</v>
      </c>
      <c r="G32" s="66" t="s">
        <v>191</v>
      </c>
      <c r="H32" s="68"/>
      <c r="I32" s="22" t="s">
        <v>617</v>
      </c>
      <c r="J32" s="31" t="s">
        <v>618</v>
      </c>
      <c r="K32" s="22" t="s">
        <v>619</v>
      </c>
      <c r="L32" s="23" t="s">
        <v>620</v>
      </c>
      <c r="M32" s="23" t="s">
        <v>621</v>
      </c>
      <c r="N32" s="31" t="s">
        <v>622</v>
      </c>
      <c r="O32" s="31" t="s">
        <v>623</v>
      </c>
      <c r="P32" s="32" t="s">
        <v>46</v>
      </c>
      <c r="Q32" s="31" t="s">
        <v>624</v>
      </c>
      <c r="R32" s="32" t="s">
        <v>625</v>
      </c>
      <c r="S32" s="32" t="s">
        <v>203</v>
      </c>
      <c r="T32" s="15" t="s">
        <v>466</v>
      </c>
      <c r="V32" s="32" t="s">
        <v>626</v>
      </c>
      <c r="W32" s="32" t="s">
        <v>225</v>
      </c>
      <c r="X32" s="32" t="s">
        <v>627</v>
      </c>
      <c r="Y32" s="32" t="s">
        <v>52</v>
      </c>
      <c r="Z32" s="32" t="s">
        <v>628</v>
      </c>
      <c r="AA32" s="32" t="s">
        <v>486</v>
      </c>
      <c r="AB32" s="32" t="s">
        <v>487</v>
      </c>
      <c r="AC32" s="32" t="s">
        <v>97</v>
      </c>
      <c r="AD32" s="32" t="s">
        <v>629</v>
      </c>
      <c r="AE32" s="32" t="s">
        <v>58</v>
      </c>
      <c r="AF32" s="32"/>
      <c r="AG32" s="46" t="s">
        <v>59</v>
      </c>
    </row>
    <row r="33" spans="1:33" ht="165" x14ac:dyDescent="0.2">
      <c r="A33" s="72" t="s">
        <v>630</v>
      </c>
      <c r="B33" s="38" t="s">
        <v>631</v>
      </c>
      <c r="C33" s="22" t="s">
        <v>632</v>
      </c>
      <c r="D33" s="22" t="s">
        <v>633</v>
      </c>
      <c r="E33" s="64">
        <f>SUMIF('Por actividad (2)'!A:A,'Iniciativas (2)'!A33,'Por actividad (2)'!N:N)</f>
        <v>52708.520179372194</v>
      </c>
      <c r="F33" s="65" t="s">
        <v>261</v>
      </c>
      <c r="G33" s="66" t="s">
        <v>380</v>
      </c>
      <c r="H33" s="68"/>
      <c r="I33" s="22" t="s">
        <v>634</v>
      </c>
      <c r="J33" s="31" t="s">
        <v>635</v>
      </c>
      <c r="K33" s="22" t="s">
        <v>636</v>
      </c>
      <c r="L33" s="23" t="s">
        <v>637</v>
      </c>
      <c r="M33" s="23" t="s">
        <v>638</v>
      </c>
      <c r="N33" s="31" t="s">
        <v>639</v>
      </c>
      <c r="O33" s="31" t="s">
        <v>640</v>
      </c>
      <c r="P33" s="32" t="s">
        <v>46</v>
      </c>
      <c r="Q33" s="31" t="s">
        <v>641</v>
      </c>
      <c r="R33" s="32" t="s">
        <v>625</v>
      </c>
      <c r="S33" s="32" t="s">
        <v>134</v>
      </c>
      <c r="T33" s="14" t="s">
        <v>642</v>
      </c>
      <c r="V33" s="32" t="s">
        <v>368</v>
      </c>
      <c r="W33" s="32" t="s">
        <v>368</v>
      </c>
      <c r="X33" s="32" t="s">
        <v>643</v>
      </c>
      <c r="Y33" s="32" t="s">
        <v>423</v>
      </c>
      <c r="Z33" s="32" t="s">
        <v>644</v>
      </c>
      <c r="AA33" s="32" t="s">
        <v>425</v>
      </c>
      <c r="AB33" s="32" t="s">
        <v>426</v>
      </c>
      <c r="AC33" s="32" t="s">
        <v>119</v>
      </c>
      <c r="AD33" s="32" t="s">
        <v>645</v>
      </c>
      <c r="AE33" s="32" t="s">
        <v>58</v>
      </c>
      <c r="AF33" s="32"/>
      <c r="AG33" s="46" t="s">
        <v>59</v>
      </c>
    </row>
    <row r="34" spans="1:33" ht="120" x14ac:dyDescent="0.2">
      <c r="A34" s="72" t="s">
        <v>646</v>
      </c>
      <c r="B34" s="38" t="s">
        <v>647</v>
      </c>
      <c r="C34" s="22" t="s">
        <v>648</v>
      </c>
      <c r="D34" s="22" t="s">
        <v>649</v>
      </c>
      <c r="E34" s="64">
        <f>SUMIF('Por actividad (2)'!A:A,'Iniciativas (2)'!A34,'Por actividad (2)'!N:N)</f>
        <v>26632.286995515689</v>
      </c>
      <c r="F34" s="65" t="s">
        <v>261</v>
      </c>
      <c r="G34" s="66" t="s">
        <v>191</v>
      </c>
      <c r="H34" s="68"/>
      <c r="I34" s="22" t="s">
        <v>650</v>
      </c>
      <c r="J34" s="31" t="s">
        <v>651</v>
      </c>
      <c r="K34" s="22" t="s">
        <v>652</v>
      </c>
      <c r="L34" s="23" t="s">
        <v>653</v>
      </c>
      <c r="M34" s="23" t="s">
        <v>654</v>
      </c>
      <c r="N34" s="31" t="s">
        <v>655</v>
      </c>
      <c r="O34" s="31" t="s">
        <v>656</v>
      </c>
      <c r="P34" s="32" t="s">
        <v>46</v>
      </c>
      <c r="Q34" s="31" t="s">
        <v>657</v>
      </c>
      <c r="R34" s="32" t="s">
        <v>625</v>
      </c>
      <c r="S34" s="32" t="s">
        <v>49</v>
      </c>
      <c r="T34" s="14" t="s">
        <v>50</v>
      </c>
      <c r="V34" s="32" t="s">
        <v>348</v>
      </c>
      <c r="W34" s="32" t="s">
        <v>348</v>
      </c>
      <c r="X34" s="32" t="s">
        <v>658</v>
      </c>
      <c r="Y34" s="32" t="s">
        <v>659</v>
      </c>
      <c r="Z34" s="32" t="s">
        <v>660</v>
      </c>
      <c r="AA34" s="32" t="s">
        <v>447</v>
      </c>
      <c r="AB34" s="32" t="s">
        <v>661</v>
      </c>
      <c r="AC34" s="32" t="s">
        <v>119</v>
      </c>
      <c r="AD34" s="32" t="s">
        <v>662</v>
      </c>
      <c r="AE34" s="32" t="s">
        <v>663</v>
      </c>
      <c r="AF34" s="32"/>
      <c r="AG34" s="46" t="s">
        <v>59</v>
      </c>
    </row>
    <row r="35" spans="1:33" ht="120" x14ac:dyDescent="0.2">
      <c r="A35" s="72" t="s">
        <v>664</v>
      </c>
      <c r="B35" s="38" t="s">
        <v>665</v>
      </c>
      <c r="C35" s="22" t="s">
        <v>666</v>
      </c>
      <c r="D35" s="22" t="s">
        <v>667</v>
      </c>
      <c r="E35" s="64">
        <f>SUMIF('Por actividad (2)'!A:A,'Iniciativas (2)'!A35,'Por actividad (2)'!N:N)</f>
        <v>76511.21076233183</v>
      </c>
      <c r="F35" s="65" t="s">
        <v>261</v>
      </c>
      <c r="G35" s="66" t="s">
        <v>191</v>
      </c>
      <c r="H35" s="68"/>
      <c r="I35" s="22" t="s">
        <v>668</v>
      </c>
      <c r="J35" s="31" t="s">
        <v>669</v>
      </c>
      <c r="K35" s="22" t="s">
        <v>670</v>
      </c>
      <c r="L35" s="23" t="s">
        <v>671</v>
      </c>
      <c r="M35" s="23" t="s">
        <v>672</v>
      </c>
      <c r="N35" s="31" t="s">
        <v>673</v>
      </c>
      <c r="O35" s="31" t="s">
        <v>674</v>
      </c>
      <c r="P35" s="32" t="s">
        <v>46</v>
      </c>
      <c r="Q35" s="31" t="s">
        <v>675</v>
      </c>
      <c r="R35" s="32" t="s">
        <v>625</v>
      </c>
      <c r="S35" s="32" t="s">
        <v>203</v>
      </c>
      <c r="T35" s="14" t="s">
        <v>50</v>
      </c>
      <c r="V35" s="32" t="s">
        <v>676</v>
      </c>
      <c r="W35" s="32" t="s">
        <v>203</v>
      </c>
      <c r="X35" s="32" t="s">
        <v>677</v>
      </c>
      <c r="Y35" s="32" t="s">
        <v>552</v>
      </c>
      <c r="Z35" s="32" t="s">
        <v>678</v>
      </c>
      <c r="AA35" s="32" t="s">
        <v>679</v>
      </c>
      <c r="AB35" s="32" t="s">
        <v>680</v>
      </c>
      <c r="AC35" s="32" t="s">
        <v>681</v>
      </c>
      <c r="AD35" s="32" t="s">
        <v>682</v>
      </c>
      <c r="AE35" s="32" t="s">
        <v>58</v>
      </c>
      <c r="AF35" s="32"/>
      <c r="AG35" s="46" t="s">
        <v>59</v>
      </c>
    </row>
    <row r="36" spans="1:33" ht="150" x14ac:dyDescent="0.2">
      <c r="A36" s="72" t="s">
        <v>683</v>
      </c>
      <c r="B36" s="38" t="s">
        <v>684</v>
      </c>
      <c r="C36" s="22" t="s">
        <v>685</v>
      </c>
      <c r="D36" s="22" t="s">
        <v>686</v>
      </c>
      <c r="E36" s="64">
        <f>SUMIF('Por actividad (2)'!A:A,'Iniciativas (2)'!A36,'Por actividad (2)'!N:N)</f>
        <v>65134.529147982059</v>
      </c>
      <c r="F36" s="65" t="s">
        <v>236</v>
      </c>
      <c r="G36" s="66" t="s">
        <v>191</v>
      </c>
      <c r="H36" s="68"/>
      <c r="I36" s="22" t="s">
        <v>687</v>
      </c>
      <c r="J36" s="31" t="s">
        <v>688</v>
      </c>
      <c r="K36" s="22" t="s">
        <v>689</v>
      </c>
      <c r="L36" s="23" t="s">
        <v>690</v>
      </c>
      <c r="M36" s="23" t="s">
        <v>691</v>
      </c>
      <c r="N36" s="31" t="s">
        <v>692</v>
      </c>
      <c r="O36" s="31" t="s">
        <v>693</v>
      </c>
      <c r="P36" s="32" t="s">
        <v>46</v>
      </c>
      <c r="Q36" s="31" t="s">
        <v>694</v>
      </c>
      <c r="R36" s="32" t="s">
        <v>625</v>
      </c>
      <c r="S36" s="32" t="s">
        <v>203</v>
      </c>
      <c r="T36" s="14" t="s">
        <v>695</v>
      </c>
      <c r="V36" s="32" t="s">
        <v>696</v>
      </c>
      <c r="W36" s="32" t="s">
        <v>203</v>
      </c>
      <c r="X36" s="32" t="s">
        <v>697</v>
      </c>
      <c r="Y36" s="32" t="s">
        <v>698</v>
      </c>
      <c r="Z36" s="32" t="s">
        <v>699</v>
      </c>
      <c r="AA36" s="32" t="s">
        <v>700</v>
      </c>
      <c r="AB36" s="32" t="s">
        <v>701</v>
      </c>
      <c r="AC36" s="32" t="s">
        <v>119</v>
      </c>
      <c r="AD36" s="32" t="s">
        <v>702</v>
      </c>
      <c r="AE36" s="32" t="s">
        <v>58</v>
      </c>
      <c r="AF36" s="32"/>
      <c r="AG36" s="46" t="s">
        <v>59</v>
      </c>
    </row>
    <row r="37" spans="1:33" ht="60" x14ac:dyDescent="0.2">
      <c r="A37" s="72" t="s">
        <v>703</v>
      </c>
      <c r="B37" s="38" t="s">
        <v>704</v>
      </c>
      <c r="C37" s="22" t="s">
        <v>705</v>
      </c>
      <c r="D37" s="22" t="s">
        <v>706</v>
      </c>
      <c r="E37" s="64">
        <f>SUMIF('Por actividad (2)'!A:A,'Iniciativas (2)'!A37,'Por actividad (2)'!N:N)</f>
        <v>4789.2376681614351</v>
      </c>
      <c r="F37" s="65" t="s">
        <v>261</v>
      </c>
      <c r="G37" s="66" t="s">
        <v>191</v>
      </c>
      <c r="H37" s="68"/>
      <c r="I37" s="22" t="s">
        <v>707</v>
      </c>
      <c r="J37" s="31" t="s">
        <v>708</v>
      </c>
      <c r="K37" s="22" t="s">
        <v>708</v>
      </c>
      <c r="L37" s="23" t="s">
        <v>709</v>
      </c>
      <c r="M37" s="23" t="s">
        <v>710</v>
      </c>
      <c r="N37" s="31" t="s">
        <v>711</v>
      </c>
      <c r="O37" s="31" t="s">
        <v>712</v>
      </c>
      <c r="P37" s="32" t="s">
        <v>713</v>
      </c>
      <c r="Q37" s="31" t="s">
        <v>714</v>
      </c>
      <c r="R37" s="32" t="s">
        <v>715</v>
      </c>
      <c r="S37" s="32" t="s">
        <v>203</v>
      </c>
      <c r="T37" s="14" t="s">
        <v>716</v>
      </c>
      <c r="U37" s="19" t="s">
        <v>713</v>
      </c>
      <c r="V37" s="32" t="s">
        <v>676</v>
      </c>
      <c r="W37" s="32" t="s">
        <v>203</v>
      </c>
      <c r="X37" s="32" t="s">
        <v>717</v>
      </c>
      <c r="Y37" s="32" t="s">
        <v>249</v>
      </c>
      <c r="Z37" s="32" t="s">
        <v>718</v>
      </c>
      <c r="AA37" s="32" t="s">
        <v>719</v>
      </c>
      <c r="AB37" s="32" t="s">
        <v>720</v>
      </c>
      <c r="AC37" s="32" t="s">
        <v>721</v>
      </c>
      <c r="AD37" s="32" t="s">
        <v>722</v>
      </c>
      <c r="AE37" s="32" t="s">
        <v>58</v>
      </c>
      <c r="AF37" s="32"/>
      <c r="AG37" s="46" t="s">
        <v>59</v>
      </c>
    </row>
    <row r="38" spans="1:33" ht="90" x14ac:dyDescent="0.2">
      <c r="A38" s="72" t="s">
        <v>723</v>
      </c>
      <c r="B38" s="38" t="s">
        <v>724</v>
      </c>
      <c r="C38" s="22" t="s">
        <v>725</v>
      </c>
      <c r="D38" s="22" t="s">
        <v>726</v>
      </c>
      <c r="E38" s="64">
        <f>SUMIF('Por actividad (2)'!A:A,'Iniciativas (2)'!A38,'Por actividad (2)'!N:N)</f>
        <v>242659.19282511211</v>
      </c>
      <c r="F38" s="65" t="s">
        <v>261</v>
      </c>
      <c r="G38" s="66" t="s">
        <v>191</v>
      </c>
      <c r="H38" s="68"/>
      <c r="I38" s="22" t="s">
        <v>727</v>
      </c>
      <c r="J38" s="31" t="s">
        <v>728</v>
      </c>
      <c r="K38" s="22" t="s">
        <v>729</v>
      </c>
      <c r="L38" s="23" t="s">
        <v>730</v>
      </c>
      <c r="M38" s="23"/>
      <c r="N38" s="31" t="s">
        <v>731</v>
      </c>
      <c r="O38" s="31" t="s">
        <v>732</v>
      </c>
      <c r="P38" s="32" t="s">
        <v>733</v>
      </c>
      <c r="Q38" s="31" t="s">
        <v>734</v>
      </c>
      <c r="R38" s="32" t="s">
        <v>244</v>
      </c>
      <c r="S38" s="32" t="s">
        <v>735</v>
      </c>
      <c r="T38" s="14" t="s">
        <v>736</v>
      </c>
      <c r="U38" s="19" t="s">
        <v>737</v>
      </c>
      <c r="V38" s="32" t="s">
        <v>738</v>
      </c>
      <c r="W38" s="32" t="s">
        <v>203</v>
      </c>
      <c r="X38" s="32" t="s">
        <v>739</v>
      </c>
      <c r="Y38" s="32" t="s">
        <v>115</v>
      </c>
      <c r="Z38" s="32" t="s">
        <v>740</v>
      </c>
      <c r="AA38" s="32" t="s">
        <v>138</v>
      </c>
      <c r="AB38" s="32" t="s">
        <v>741</v>
      </c>
      <c r="AC38" s="32" t="s">
        <v>742</v>
      </c>
      <c r="AD38" s="32" t="s">
        <v>743</v>
      </c>
      <c r="AE38" s="32" t="s">
        <v>58</v>
      </c>
      <c r="AF38" s="32"/>
      <c r="AG38" s="46" t="s">
        <v>59</v>
      </c>
    </row>
    <row r="39" spans="1:33" ht="90" x14ac:dyDescent="0.2">
      <c r="A39" s="72" t="s">
        <v>744</v>
      </c>
      <c r="B39" s="38" t="s">
        <v>745</v>
      </c>
      <c r="C39" s="22" t="s">
        <v>746</v>
      </c>
      <c r="D39" s="22" t="s">
        <v>747</v>
      </c>
      <c r="E39" s="64">
        <f>SUMIF('Por actividad (2)'!A:A,'Iniciativas (2)'!A39,'Por actividad (2)'!N:N)</f>
        <v>56479.820627802692</v>
      </c>
      <c r="F39" s="65" t="s">
        <v>261</v>
      </c>
      <c r="G39" s="66" t="s">
        <v>191</v>
      </c>
      <c r="H39" s="68"/>
      <c r="I39" s="22" t="s">
        <v>748</v>
      </c>
      <c r="J39" s="31" t="s">
        <v>749</v>
      </c>
      <c r="K39" s="22" t="s">
        <v>750</v>
      </c>
      <c r="L39" s="23" t="s">
        <v>232</v>
      </c>
      <c r="M39" s="23" t="s">
        <v>751</v>
      </c>
      <c r="N39" s="31" t="s">
        <v>752</v>
      </c>
      <c r="O39" s="31" t="s">
        <v>753</v>
      </c>
      <c r="P39" s="32" t="s">
        <v>754</v>
      </c>
      <c r="Q39" s="31" t="s">
        <v>755</v>
      </c>
      <c r="R39" s="32" t="s">
        <v>756</v>
      </c>
      <c r="S39" s="32" t="s">
        <v>757</v>
      </c>
      <c r="T39" s="14" t="s">
        <v>758</v>
      </c>
      <c r="U39" s="19" t="s">
        <v>737</v>
      </c>
      <c r="V39" s="32" t="s">
        <v>759</v>
      </c>
      <c r="W39" s="32" t="s">
        <v>203</v>
      </c>
      <c r="X39" s="32" t="s">
        <v>760</v>
      </c>
      <c r="Y39" s="32" t="s">
        <v>761</v>
      </c>
      <c r="Z39" s="32" t="s">
        <v>762</v>
      </c>
      <c r="AA39" s="32" t="s">
        <v>763</v>
      </c>
      <c r="AB39" s="32" t="s">
        <v>764</v>
      </c>
      <c r="AC39" s="32" t="s">
        <v>765</v>
      </c>
      <c r="AD39" s="32" t="s">
        <v>766</v>
      </c>
      <c r="AE39" s="32" t="s">
        <v>58</v>
      </c>
      <c r="AF39" s="32"/>
      <c r="AG39" s="46" t="s">
        <v>59</v>
      </c>
    </row>
    <row r="40" spans="1:33" ht="90" x14ac:dyDescent="0.2">
      <c r="A40" s="72" t="s">
        <v>767</v>
      </c>
      <c r="B40" s="38" t="s">
        <v>768</v>
      </c>
      <c r="C40" s="22" t="s">
        <v>769</v>
      </c>
      <c r="D40" s="22" t="s">
        <v>770</v>
      </c>
      <c r="E40" s="64">
        <f>SUMIF('Por actividad (2)'!A:A,'Iniciativas (2)'!A40,'Por actividad (2)'!N:N)</f>
        <v>45139.013452914798</v>
      </c>
      <c r="F40" s="65" t="s">
        <v>236</v>
      </c>
      <c r="G40" s="66" t="s">
        <v>191</v>
      </c>
      <c r="H40" s="68"/>
      <c r="I40" s="22" t="s">
        <v>771</v>
      </c>
      <c r="J40" s="31" t="s">
        <v>772</v>
      </c>
      <c r="K40" s="22" t="s">
        <v>773</v>
      </c>
      <c r="L40" s="23" t="s">
        <v>232</v>
      </c>
      <c r="M40" s="23" t="s">
        <v>774</v>
      </c>
      <c r="N40" s="31" t="s">
        <v>775</v>
      </c>
      <c r="O40" s="31" t="s">
        <v>776</v>
      </c>
      <c r="P40" s="32" t="s">
        <v>777</v>
      </c>
      <c r="Q40" s="31" t="s">
        <v>778</v>
      </c>
      <c r="R40" s="32" t="s">
        <v>244</v>
      </c>
      <c r="S40" s="32" t="s">
        <v>779</v>
      </c>
      <c r="T40" s="14" t="s">
        <v>780</v>
      </c>
      <c r="U40" s="19" t="s">
        <v>737</v>
      </c>
      <c r="V40" s="32" t="s">
        <v>781</v>
      </c>
      <c r="W40" s="32" t="s">
        <v>203</v>
      </c>
      <c r="X40" s="32" t="s">
        <v>782</v>
      </c>
      <c r="Y40" s="32" t="s">
        <v>249</v>
      </c>
      <c r="Z40" s="32" t="s">
        <v>783</v>
      </c>
      <c r="AA40" s="32" t="s">
        <v>251</v>
      </c>
      <c r="AB40" s="32" t="s">
        <v>784</v>
      </c>
      <c r="AC40" s="32" t="s">
        <v>785</v>
      </c>
      <c r="AD40" s="32" t="s">
        <v>786</v>
      </c>
      <c r="AE40" s="32" t="s">
        <v>58</v>
      </c>
      <c r="AF40" s="32"/>
      <c r="AG40" s="46" t="s">
        <v>59</v>
      </c>
    </row>
    <row r="41" spans="1:33" ht="90" x14ac:dyDescent="0.2">
      <c r="A41" s="72" t="s">
        <v>787</v>
      </c>
      <c r="B41" s="38" t="s">
        <v>788</v>
      </c>
      <c r="C41" s="22" t="s">
        <v>789</v>
      </c>
      <c r="D41" s="22" t="s">
        <v>790</v>
      </c>
      <c r="E41" s="64">
        <f>SUMIF('Por actividad (2)'!A:A,'Iniciativas (2)'!A41,'Por actividad (2)'!N:N)</f>
        <v>34757.847533632288</v>
      </c>
      <c r="F41" s="65" t="s">
        <v>37</v>
      </c>
      <c r="G41" s="66" t="s">
        <v>791</v>
      </c>
      <c r="H41" s="68"/>
      <c r="I41" s="22" t="s">
        <v>792</v>
      </c>
      <c r="J41" s="31" t="s">
        <v>793</v>
      </c>
      <c r="K41" s="22" t="s">
        <v>794</v>
      </c>
      <c r="L41" s="23" t="s">
        <v>795</v>
      </c>
      <c r="M41" s="23"/>
      <c r="N41" s="31" t="s">
        <v>796</v>
      </c>
      <c r="O41" s="31" t="s">
        <v>797</v>
      </c>
      <c r="P41" s="32" t="s">
        <v>798</v>
      </c>
      <c r="Q41" s="31" t="s">
        <v>799</v>
      </c>
      <c r="R41" s="32" t="s">
        <v>48</v>
      </c>
      <c r="S41" s="32" t="s">
        <v>368</v>
      </c>
      <c r="T41" s="14" t="s">
        <v>800</v>
      </c>
      <c r="U41" s="19" t="s">
        <v>737</v>
      </c>
      <c r="V41" s="32" t="s">
        <v>368</v>
      </c>
      <c r="W41" s="32" t="s">
        <v>368</v>
      </c>
      <c r="X41" s="32" t="s">
        <v>801</v>
      </c>
      <c r="Y41" s="32" t="s">
        <v>802</v>
      </c>
      <c r="Z41" s="32" t="s">
        <v>803</v>
      </c>
      <c r="AA41" s="32" t="s">
        <v>804</v>
      </c>
      <c r="AB41" s="32" t="s">
        <v>805</v>
      </c>
      <c r="AC41" s="32" t="s">
        <v>97</v>
      </c>
      <c r="AD41" s="32" t="s">
        <v>806</v>
      </c>
      <c r="AE41" s="32" t="s">
        <v>58</v>
      </c>
      <c r="AF41" s="32"/>
      <c r="AG41" s="46" t="s">
        <v>59</v>
      </c>
    </row>
    <row r="42" spans="1:33" ht="90" x14ac:dyDescent="0.2">
      <c r="A42" s="72" t="s">
        <v>807</v>
      </c>
      <c r="B42" s="38" t="s">
        <v>808</v>
      </c>
      <c r="C42" s="22" t="s">
        <v>809</v>
      </c>
      <c r="D42" s="22" t="s">
        <v>810</v>
      </c>
      <c r="E42" s="64">
        <f>SUMIF('Por actividad (2)'!A:A,'Iniciativas (2)'!A42,'Por actividad (2)'!N:N)</f>
        <v>46991.031390134522</v>
      </c>
      <c r="F42" s="65" t="s">
        <v>236</v>
      </c>
      <c r="G42" s="66" t="s">
        <v>191</v>
      </c>
      <c r="H42" s="68"/>
      <c r="I42" s="22" t="s">
        <v>811</v>
      </c>
      <c r="J42" s="31" t="s">
        <v>812</v>
      </c>
      <c r="K42" s="22" t="s">
        <v>813</v>
      </c>
      <c r="L42" s="23" t="s">
        <v>814</v>
      </c>
      <c r="M42" s="23" t="s">
        <v>815</v>
      </c>
      <c r="N42" s="31" t="s">
        <v>816</v>
      </c>
      <c r="O42" s="31" t="s">
        <v>817</v>
      </c>
      <c r="P42" s="32" t="s">
        <v>818</v>
      </c>
      <c r="Q42" s="31" t="s">
        <v>819</v>
      </c>
      <c r="R42" s="32" t="s">
        <v>270</v>
      </c>
      <c r="S42" s="32" t="s">
        <v>820</v>
      </c>
      <c r="T42" s="14" t="s">
        <v>113</v>
      </c>
      <c r="U42" s="19" t="s">
        <v>737</v>
      </c>
      <c r="V42" s="32" t="s">
        <v>821</v>
      </c>
      <c r="W42" s="32" t="s">
        <v>203</v>
      </c>
      <c r="X42" s="32" t="s">
        <v>822</v>
      </c>
      <c r="Y42" s="32" t="s">
        <v>823</v>
      </c>
      <c r="Z42" s="32" t="s">
        <v>824</v>
      </c>
      <c r="AA42" s="32" t="s">
        <v>181</v>
      </c>
      <c r="AB42" s="32" t="s">
        <v>825</v>
      </c>
      <c r="AC42" s="32" t="s">
        <v>826</v>
      </c>
      <c r="AD42" s="32" t="s">
        <v>827</v>
      </c>
      <c r="AE42" s="32" t="s">
        <v>58</v>
      </c>
      <c r="AF42" s="32"/>
      <c r="AG42" s="46" t="s">
        <v>59</v>
      </c>
    </row>
    <row r="43" spans="1:33" ht="240" x14ac:dyDescent="0.2">
      <c r="A43" s="72" t="s">
        <v>828</v>
      </c>
      <c r="B43" s="38" t="s">
        <v>829</v>
      </c>
      <c r="C43" s="22" t="s">
        <v>830</v>
      </c>
      <c r="D43" s="22" t="s">
        <v>831</v>
      </c>
      <c r="E43" s="64">
        <f>SUMIF('Por actividad (2)'!A:A,'Iniciativas (2)'!A43,'Por actividad (2)'!N:N)</f>
        <v>233744.39461883408</v>
      </c>
      <c r="F43" s="65" t="s">
        <v>37</v>
      </c>
      <c r="G43" s="66" t="s">
        <v>791</v>
      </c>
      <c r="H43" s="68"/>
      <c r="I43" s="22" t="s">
        <v>832</v>
      </c>
      <c r="J43" s="31" t="s">
        <v>833</v>
      </c>
      <c r="K43" s="22" t="s">
        <v>834</v>
      </c>
      <c r="L43" s="23" t="s">
        <v>835</v>
      </c>
      <c r="M43" s="23" t="s">
        <v>836</v>
      </c>
      <c r="N43" s="31" t="s">
        <v>837</v>
      </c>
      <c r="O43" s="31" t="s">
        <v>837</v>
      </c>
      <c r="P43" s="32" t="s">
        <v>46</v>
      </c>
      <c r="Q43" s="31" t="s">
        <v>838</v>
      </c>
      <c r="R43" s="32" t="s">
        <v>839</v>
      </c>
      <c r="S43" s="32" t="s">
        <v>840</v>
      </c>
      <c r="T43" s="14" t="s">
        <v>841</v>
      </c>
      <c r="U43" s="19" t="s">
        <v>842</v>
      </c>
      <c r="V43" s="32" t="s">
        <v>843</v>
      </c>
      <c r="W43" s="32" t="s">
        <v>844</v>
      </c>
      <c r="X43" s="32" t="s">
        <v>845</v>
      </c>
      <c r="Y43" s="32" t="s">
        <v>846</v>
      </c>
      <c r="Z43" s="32" t="s">
        <v>847</v>
      </c>
      <c r="AA43" s="32" t="s">
        <v>848</v>
      </c>
      <c r="AB43" s="32" t="s">
        <v>849</v>
      </c>
      <c r="AC43" s="32" t="s">
        <v>850</v>
      </c>
      <c r="AD43" s="32" t="s">
        <v>851</v>
      </c>
      <c r="AE43" s="32" t="s">
        <v>58</v>
      </c>
      <c r="AF43" s="32"/>
      <c r="AG43" s="46" t="s">
        <v>59</v>
      </c>
    </row>
    <row r="44" spans="1:33" ht="409.5" x14ac:dyDescent="0.2">
      <c r="A44" s="72" t="s">
        <v>852</v>
      </c>
      <c r="B44" s="48" t="s">
        <v>853</v>
      </c>
      <c r="C44" s="49" t="s">
        <v>854</v>
      </c>
      <c r="D44" s="49" t="s">
        <v>855</v>
      </c>
      <c r="E44" s="64">
        <f>SUMIF('Por actividad (2)'!A:A,'Iniciativas (2)'!A44,'Por actividad (2)'!N:N)</f>
        <v>78294.126980150308</v>
      </c>
      <c r="F44" s="65" t="s">
        <v>37</v>
      </c>
      <c r="G44" s="66" t="s">
        <v>103</v>
      </c>
      <c r="H44" s="68"/>
      <c r="I44" s="49" t="s">
        <v>856</v>
      </c>
      <c r="J44" s="49" t="s">
        <v>857</v>
      </c>
      <c r="K44" s="49" t="s">
        <v>858</v>
      </c>
      <c r="L44" s="51" t="s">
        <v>859</v>
      </c>
      <c r="M44" s="51"/>
      <c r="N44" s="49" t="s">
        <v>860</v>
      </c>
      <c r="O44" s="50"/>
      <c r="P44" s="52" t="s">
        <v>46</v>
      </c>
      <c r="Q44" s="50" t="s">
        <v>861</v>
      </c>
      <c r="R44" s="52" t="s">
        <v>48</v>
      </c>
      <c r="S44" s="52" t="s">
        <v>862</v>
      </c>
      <c r="T44" s="14" t="s">
        <v>863</v>
      </c>
      <c r="U44" s="19" t="s">
        <v>842</v>
      </c>
      <c r="V44" s="52" t="s">
        <v>864</v>
      </c>
      <c r="W44" s="52" t="s">
        <v>865</v>
      </c>
      <c r="X44" s="52" t="s">
        <v>866</v>
      </c>
      <c r="Y44" s="52" t="s">
        <v>867</v>
      </c>
      <c r="Z44" s="52" t="s">
        <v>868</v>
      </c>
      <c r="AA44" s="52" t="s">
        <v>869</v>
      </c>
      <c r="AB44" s="52" t="s">
        <v>870</v>
      </c>
      <c r="AC44" s="52" t="s">
        <v>871</v>
      </c>
      <c r="AD44" s="52" t="s">
        <v>872</v>
      </c>
      <c r="AE44" s="52" t="s">
        <v>873</v>
      </c>
      <c r="AF44" s="52" t="s">
        <v>874</v>
      </c>
      <c r="AG44" s="53" t="s">
        <v>59</v>
      </c>
    </row>
    <row r="45" spans="1:33" x14ac:dyDescent="0.25">
      <c r="F45" s="47"/>
      <c r="G45" s="47"/>
    </row>
  </sheetData>
  <autoFilter ref="A1:AG1" xr:uid="{4036ED0D-9101-41C9-A978-AE7A11E41083}"/>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7C9CC-632D-4B42-AF72-6E2C3D981171}">
  <dimension ref="A1:H11"/>
  <sheetViews>
    <sheetView workbookViewId="0"/>
  </sheetViews>
  <sheetFormatPr defaultRowHeight="15" x14ac:dyDescent="0.25"/>
  <cols>
    <col min="1" max="1" width="19" bestFit="1" customWidth="1"/>
    <col min="2" max="2" width="29" style="67" customWidth="1"/>
    <col min="4" max="4" width="58.42578125" bestFit="1" customWidth="1"/>
    <col min="5" max="5" width="29" bestFit="1" customWidth="1"/>
    <col min="7" max="7" width="58.42578125" bestFit="1" customWidth="1"/>
    <col min="8" max="8" width="29" bestFit="1" customWidth="1"/>
  </cols>
  <sheetData>
    <row r="1" spans="1:8" x14ac:dyDescent="0.25">
      <c r="A1" s="62" t="s">
        <v>875</v>
      </c>
      <c r="B1" s="67" t="s">
        <v>876</v>
      </c>
      <c r="D1" s="62" t="s">
        <v>875</v>
      </c>
      <c r="E1" s="67" t="s">
        <v>876</v>
      </c>
      <c r="G1" s="62" t="s">
        <v>875</v>
      </c>
      <c r="H1" s="67" t="s">
        <v>876</v>
      </c>
    </row>
    <row r="2" spans="1:8" x14ac:dyDescent="0.25">
      <c r="A2" s="44" t="s">
        <v>37</v>
      </c>
      <c r="B2" s="67">
        <v>1467289.6426752175</v>
      </c>
      <c r="D2" s="44" t="s">
        <v>38</v>
      </c>
      <c r="E2" s="67">
        <v>319390.13452914794</v>
      </c>
      <c r="G2" s="44" t="s">
        <v>38</v>
      </c>
      <c r="H2" s="67">
        <v>319390.13452914794</v>
      </c>
    </row>
    <row r="3" spans="1:8" x14ac:dyDescent="0.25">
      <c r="A3" s="44" t="s">
        <v>236</v>
      </c>
      <c r="B3" s="67">
        <v>262807.17488789238</v>
      </c>
      <c r="D3" s="44" t="s">
        <v>877</v>
      </c>
      <c r="E3" s="67"/>
      <c r="G3" s="44" t="s">
        <v>877</v>
      </c>
      <c r="H3" s="67"/>
    </row>
    <row r="4" spans="1:8" x14ac:dyDescent="0.25">
      <c r="A4" s="44" t="s">
        <v>261</v>
      </c>
      <c r="B4" s="67">
        <v>1859520.179372197</v>
      </c>
      <c r="D4" s="44" t="s">
        <v>81</v>
      </c>
      <c r="E4" s="67">
        <v>109578.47533632287</v>
      </c>
      <c r="G4" s="44" t="s">
        <v>81</v>
      </c>
      <c r="H4" s="67">
        <v>109578.47533632287</v>
      </c>
    </row>
    <row r="5" spans="1:8" x14ac:dyDescent="0.25">
      <c r="A5" s="44" t="s">
        <v>877</v>
      </c>
      <c r="D5" s="44" t="s">
        <v>103</v>
      </c>
      <c r="E5" s="67">
        <v>434303.09559001576</v>
      </c>
      <c r="G5" s="44" t="s">
        <v>103</v>
      </c>
      <c r="H5" s="67">
        <v>434303.09559001576</v>
      </c>
    </row>
    <row r="6" spans="1:8" x14ac:dyDescent="0.25">
      <c r="A6" s="44" t="s">
        <v>878</v>
      </c>
      <c r="B6" s="67">
        <v>3589616.996935307</v>
      </c>
      <c r="D6" s="44" t="s">
        <v>125</v>
      </c>
      <c r="E6" s="67">
        <v>71089.686098654711</v>
      </c>
      <c r="G6" s="44" t="s">
        <v>125</v>
      </c>
      <c r="H6" s="67">
        <v>71089.686098654711</v>
      </c>
    </row>
    <row r="7" spans="1:8" x14ac:dyDescent="0.25">
      <c r="B7"/>
      <c r="D7" s="44" t="s">
        <v>144</v>
      </c>
      <c r="E7" s="67">
        <v>62013.452914798196</v>
      </c>
      <c r="G7" s="44" t="s">
        <v>144</v>
      </c>
      <c r="H7" s="67">
        <v>62013.452914798196</v>
      </c>
    </row>
    <row r="8" spans="1:8" x14ac:dyDescent="0.25">
      <c r="B8"/>
      <c r="D8" s="44" t="s">
        <v>191</v>
      </c>
      <c r="E8" s="67">
        <v>2167883.4080717489</v>
      </c>
      <c r="G8" s="44" t="s">
        <v>191</v>
      </c>
      <c r="H8" s="67">
        <v>2167883.4080717489</v>
      </c>
    </row>
    <row r="9" spans="1:8" x14ac:dyDescent="0.25">
      <c r="D9" s="44" t="s">
        <v>380</v>
      </c>
      <c r="E9" s="67">
        <v>191614.34977578477</v>
      </c>
      <c r="G9" s="44" t="s">
        <v>380</v>
      </c>
      <c r="H9" s="67">
        <v>191614.34977578477</v>
      </c>
    </row>
    <row r="10" spans="1:8" x14ac:dyDescent="0.25">
      <c r="D10" s="44" t="s">
        <v>791</v>
      </c>
      <c r="E10" s="67">
        <v>233744.39461883408</v>
      </c>
      <c r="G10" s="44" t="s">
        <v>791</v>
      </c>
      <c r="H10" s="67">
        <v>233744.39461883408</v>
      </c>
    </row>
    <row r="11" spans="1:8" x14ac:dyDescent="0.25">
      <c r="D11" s="44" t="s">
        <v>878</v>
      </c>
      <c r="E11" s="67">
        <v>3589616.996935307</v>
      </c>
      <c r="G11" s="44" t="s">
        <v>878</v>
      </c>
      <c r="H11" s="67">
        <v>3589616.996935307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B0848-2DA8-4196-905C-64AA3690A885}">
  <dimension ref="A1:N251"/>
  <sheetViews>
    <sheetView workbookViewId="0">
      <selection activeCell="P3" sqref="P3"/>
    </sheetView>
  </sheetViews>
  <sheetFormatPr defaultRowHeight="15" x14ac:dyDescent="0.25"/>
  <cols>
    <col min="2" max="2" width="41.85546875" customWidth="1"/>
    <col min="3" max="3" width="41.140625" hidden="1" customWidth="1"/>
    <col min="4" max="4" width="40.42578125" hidden="1" customWidth="1"/>
    <col min="5" max="5" width="23.42578125" style="35" hidden="1" customWidth="1"/>
    <col min="6" max="6" width="19.140625" hidden="1" customWidth="1"/>
    <col min="7" max="7" width="50.7109375" hidden="1" customWidth="1"/>
    <col min="8" max="8" width="15.85546875" style="42" customWidth="1"/>
    <col min="9" max="9" width="121.5703125" style="35" customWidth="1"/>
    <col min="10" max="10" width="14.28515625" style="26" hidden="1" customWidth="1"/>
    <col min="11" max="11" width="15.42578125" style="26" hidden="1" customWidth="1"/>
    <col min="12" max="12" width="21.5703125" style="26" hidden="1" customWidth="1"/>
    <col min="14" max="14" width="13" style="67" customWidth="1"/>
  </cols>
  <sheetData>
    <row r="1" spans="1:14" s="44" customFormat="1" x14ac:dyDescent="0.25">
      <c r="A1" s="43" t="s">
        <v>0</v>
      </c>
      <c r="B1" s="43" t="s">
        <v>879</v>
      </c>
      <c r="C1" s="43" t="s">
        <v>880</v>
      </c>
      <c r="D1" s="43" t="s">
        <v>881</v>
      </c>
      <c r="E1" s="43" t="s">
        <v>882</v>
      </c>
      <c r="F1" s="43" t="s">
        <v>883</v>
      </c>
      <c r="G1" s="43" t="s">
        <v>884</v>
      </c>
      <c r="H1" s="43" t="s">
        <v>885</v>
      </c>
      <c r="I1" s="43" t="s">
        <v>886</v>
      </c>
      <c r="J1" s="43" t="s">
        <v>887</v>
      </c>
      <c r="K1" s="43" t="s">
        <v>888</v>
      </c>
      <c r="L1" s="43" t="s">
        <v>889</v>
      </c>
      <c r="M1" t="s">
        <v>2010</v>
      </c>
      <c r="N1" s="73" t="s">
        <v>2011</v>
      </c>
    </row>
    <row r="2" spans="1:14" x14ac:dyDescent="0.25">
      <c r="A2" t="s">
        <v>33</v>
      </c>
      <c r="B2" s="34" t="s">
        <v>890</v>
      </c>
      <c r="C2" s="35" t="s">
        <v>891</v>
      </c>
      <c r="D2" s="35" t="s">
        <v>892</v>
      </c>
      <c r="E2" s="35" t="s">
        <v>893</v>
      </c>
      <c r="F2" s="36" t="s">
        <v>48</v>
      </c>
      <c r="G2" s="36" t="s">
        <v>894</v>
      </c>
      <c r="H2" s="42" t="s">
        <v>895</v>
      </c>
      <c r="I2" s="35" t="s">
        <v>896</v>
      </c>
      <c r="J2" s="26">
        <v>1.5</v>
      </c>
      <c r="K2" s="26">
        <v>1.75</v>
      </c>
      <c r="L2" s="26">
        <v>50.7</v>
      </c>
      <c r="M2">
        <v>117</v>
      </c>
      <c r="N2" s="67">
        <f t="shared" ref="N2:N65" si="0">(40000/892)*M2</f>
        <v>5246.6367713004483</v>
      </c>
    </row>
    <row r="3" spans="1:14" x14ac:dyDescent="0.25">
      <c r="A3" t="s">
        <v>33</v>
      </c>
      <c r="B3" s="34" t="s">
        <v>897</v>
      </c>
      <c r="C3" s="35" t="s">
        <v>898</v>
      </c>
      <c r="D3" s="35" t="s">
        <v>899</v>
      </c>
      <c r="E3" s="35" t="s">
        <v>900</v>
      </c>
      <c r="F3" s="36" t="s">
        <v>270</v>
      </c>
      <c r="G3" s="36" t="s">
        <v>901</v>
      </c>
      <c r="H3" s="42" t="s">
        <v>902</v>
      </c>
      <c r="I3" s="35" t="s">
        <v>903</v>
      </c>
      <c r="J3" s="26">
        <v>2.5</v>
      </c>
      <c r="K3" s="26">
        <v>2.25</v>
      </c>
      <c r="L3" s="26">
        <v>129.19999999999999</v>
      </c>
      <c r="M3">
        <v>302.39999999999998</v>
      </c>
      <c r="N3" s="67">
        <f t="shared" si="0"/>
        <v>13560.538116591926</v>
      </c>
    </row>
    <row r="4" spans="1:14" x14ac:dyDescent="0.25">
      <c r="A4" t="s">
        <v>33</v>
      </c>
      <c r="B4" s="34" t="s">
        <v>904</v>
      </c>
      <c r="C4" s="35" t="s">
        <v>905</v>
      </c>
      <c r="D4" s="35" t="s">
        <v>906</v>
      </c>
      <c r="E4" s="35" t="s">
        <v>893</v>
      </c>
      <c r="F4" s="36" t="s">
        <v>48</v>
      </c>
      <c r="G4" s="36" t="s">
        <v>894</v>
      </c>
      <c r="H4" s="42" t="s">
        <v>907</v>
      </c>
      <c r="I4" s="35" t="s">
        <v>908</v>
      </c>
      <c r="J4" s="26">
        <v>3</v>
      </c>
      <c r="K4" s="26">
        <v>2.25</v>
      </c>
      <c r="L4" s="26">
        <v>137.69999999999999</v>
      </c>
      <c r="M4">
        <v>323.7</v>
      </c>
      <c r="N4" s="67">
        <f t="shared" si="0"/>
        <v>14515.695067264573</v>
      </c>
    </row>
    <row r="5" spans="1:14" x14ac:dyDescent="0.25">
      <c r="A5" t="s">
        <v>33</v>
      </c>
      <c r="B5" s="34" t="s">
        <v>909</v>
      </c>
      <c r="C5" s="35" t="s">
        <v>910</v>
      </c>
      <c r="D5" s="35" t="s">
        <v>911</v>
      </c>
      <c r="E5" s="35" t="s">
        <v>900</v>
      </c>
      <c r="F5" s="36" t="s">
        <v>270</v>
      </c>
      <c r="G5" s="36" t="s">
        <v>901</v>
      </c>
      <c r="H5" s="42" t="s">
        <v>912</v>
      </c>
      <c r="I5" s="35" t="s">
        <v>913</v>
      </c>
      <c r="J5" s="26">
        <v>6.5</v>
      </c>
      <c r="K5" s="26">
        <v>4.5</v>
      </c>
      <c r="L5" s="26">
        <v>688.7</v>
      </c>
      <c r="M5">
        <v>1641.9</v>
      </c>
      <c r="N5" s="67">
        <f t="shared" si="0"/>
        <v>73627.802690582961</v>
      </c>
    </row>
    <row r="6" spans="1:14" x14ac:dyDescent="0.25">
      <c r="A6" t="s">
        <v>33</v>
      </c>
      <c r="B6" s="34" t="s">
        <v>914</v>
      </c>
      <c r="C6" s="35" t="s">
        <v>915</v>
      </c>
      <c r="D6" s="35" t="s">
        <v>916</v>
      </c>
      <c r="E6" s="35" t="s">
        <v>900</v>
      </c>
      <c r="F6" s="36" t="s">
        <v>270</v>
      </c>
      <c r="G6" s="36" t="s">
        <v>901</v>
      </c>
      <c r="H6" s="42" t="s">
        <v>917</v>
      </c>
      <c r="I6" s="35" t="s">
        <v>918</v>
      </c>
      <c r="J6" s="26">
        <v>4</v>
      </c>
      <c r="K6" s="26">
        <v>3.25</v>
      </c>
      <c r="L6" s="26">
        <v>296.8</v>
      </c>
      <c r="M6">
        <v>697.9</v>
      </c>
      <c r="N6" s="67">
        <f t="shared" si="0"/>
        <v>31295.964125560535</v>
      </c>
    </row>
    <row r="7" spans="1:14" x14ac:dyDescent="0.25">
      <c r="A7" t="s">
        <v>33</v>
      </c>
      <c r="B7" s="34" t="s">
        <v>919</v>
      </c>
      <c r="C7" s="35" t="s">
        <v>920</v>
      </c>
      <c r="D7" s="35" t="s">
        <v>921</v>
      </c>
      <c r="E7" s="35" t="s">
        <v>47</v>
      </c>
      <c r="F7" s="36" t="s">
        <v>203</v>
      </c>
      <c r="G7" s="36" t="s">
        <v>922</v>
      </c>
      <c r="H7" s="42" t="s">
        <v>907</v>
      </c>
      <c r="I7" s="35" t="s">
        <v>923</v>
      </c>
      <c r="J7" s="26">
        <v>3</v>
      </c>
      <c r="K7" s="26">
        <v>2.75</v>
      </c>
      <c r="L7" s="26">
        <v>168</v>
      </c>
      <c r="M7">
        <v>387.8</v>
      </c>
      <c r="N7" s="67">
        <f t="shared" si="0"/>
        <v>17390.134529147981</v>
      </c>
    </row>
    <row r="8" spans="1:14" x14ac:dyDescent="0.25">
      <c r="A8" t="s">
        <v>60</v>
      </c>
      <c r="B8" s="34" t="s">
        <v>924</v>
      </c>
      <c r="C8" s="35" t="s">
        <v>925</v>
      </c>
      <c r="D8" s="35" t="s">
        <v>926</v>
      </c>
      <c r="E8" s="35" t="s">
        <v>927</v>
      </c>
      <c r="F8" s="36" t="s">
        <v>48</v>
      </c>
      <c r="G8" s="36" t="s">
        <v>894</v>
      </c>
      <c r="H8" s="42" t="s">
        <v>895</v>
      </c>
      <c r="I8" s="35" t="s">
        <v>896</v>
      </c>
      <c r="J8" s="26">
        <v>1.5</v>
      </c>
      <c r="K8" s="26">
        <v>1.75</v>
      </c>
      <c r="L8" s="26">
        <v>50.7</v>
      </c>
      <c r="M8">
        <v>117</v>
      </c>
      <c r="N8" s="67">
        <f t="shared" si="0"/>
        <v>5246.6367713004483</v>
      </c>
    </row>
    <row r="9" spans="1:14" x14ac:dyDescent="0.25">
      <c r="A9" t="s">
        <v>60</v>
      </c>
      <c r="B9" s="34" t="s">
        <v>928</v>
      </c>
      <c r="C9" s="35" t="s">
        <v>929</v>
      </c>
      <c r="D9" s="35" t="s">
        <v>930</v>
      </c>
      <c r="E9" s="35" t="s">
        <v>927</v>
      </c>
      <c r="F9" s="36" t="s">
        <v>48</v>
      </c>
      <c r="G9" s="36" t="s">
        <v>894</v>
      </c>
      <c r="H9" s="42" t="s">
        <v>895</v>
      </c>
      <c r="I9" s="35" t="s">
        <v>896</v>
      </c>
      <c r="J9" s="26">
        <v>1.5</v>
      </c>
      <c r="K9" s="26">
        <v>1.75</v>
      </c>
      <c r="L9" s="26">
        <v>50.7</v>
      </c>
      <c r="M9">
        <v>117</v>
      </c>
      <c r="N9" s="67">
        <f t="shared" si="0"/>
        <v>5246.6367713004483</v>
      </c>
    </row>
    <row r="10" spans="1:14" x14ac:dyDescent="0.25">
      <c r="A10" t="s">
        <v>60</v>
      </c>
      <c r="B10" s="34" t="s">
        <v>931</v>
      </c>
      <c r="C10" s="35" t="s">
        <v>932</v>
      </c>
      <c r="D10" s="35" t="s">
        <v>933</v>
      </c>
      <c r="E10" s="35" t="s">
        <v>927</v>
      </c>
      <c r="F10" s="36" t="s">
        <v>48</v>
      </c>
      <c r="G10" s="36" t="s">
        <v>894</v>
      </c>
      <c r="H10" s="42" t="s">
        <v>895</v>
      </c>
      <c r="I10" s="35" t="s">
        <v>896</v>
      </c>
      <c r="J10" s="26">
        <v>1.5</v>
      </c>
      <c r="K10" s="26">
        <v>1.75</v>
      </c>
      <c r="L10" s="26">
        <v>50.7</v>
      </c>
      <c r="M10">
        <v>117</v>
      </c>
      <c r="N10" s="67">
        <f t="shared" si="0"/>
        <v>5246.6367713004483</v>
      </c>
    </row>
    <row r="11" spans="1:14" x14ac:dyDescent="0.25">
      <c r="A11" t="s">
        <v>60</v>
      </c>
      <c r="B11" s="34" t="s">
        <v>934</v>
      </c>
      <c r="C11" s="35" t="s">
        <v>935</v>
      </c>
      <c r="D11" s="35" t="s">
        <v>936</v>
      </c>
      <c r="E11" s="35" t="s">
        <v>937</v>
      </c>
      <c r="F11" s="36" t="s">
        <v>270</v>
      </c>
      <c r="G11" s="36" t="s">
        <v>901</v>
      </c>
      <c r="H11" s="42" t="s">
        <v>912</v>
      </c>
      <c r="I11" s="35" t="s">
        <v>938</v>
      </c>
      <c r="J11" s="26">
        <v>6.5</v>
      </c>
      <c r="K11" s="26">
        <v>4</v>
      </c>
      <c r="L11" s="26">
        <v>611.70000000000005</v>
      </c>
      <c r="M11">
        <v>1458</v>
      </c>
      <c r="N11" s="67">
        <f t="shared" si="0"/>
        <v>65381.16591928251</v>
      </c>
    </row>
    <row r="12" spans="1:14" x14ac:dyDescent="0.25">
      <c r="A12" t="s">
        <v>60</v>
      </c>
      <c r="B12" s="34" t="s">
        <v>939</v>
      </c>
      <c r="C12" s="35" t="s">
        <v>940</v>
      </c>
      <c r="D12" s="35" t="s">
        <v>941</v>
      </c>
      <c r="E12" s="35" t="s">
        <v>71</v>
      </c>
      <c r="F12" s="36" t="s">
        <v>203</v>
      </c>
      <c r="G12" s="36" t="s">
        <v>922</v>
      </c>
      <c r="H12" s="42" t="s">
        <v>895</v>
      </c>
      <c r="I12" s="35" t="s">
        <v>942</v>
      </c>
      <c r="J12" s="26">
        <v>1.5</v>
      </c>
      <c r="K12" s="26">
        <v>1.75</v>
      </c>
      <c r="L12" s="26">
        <v>53.7</v>
      </c>
      <c r="M12">
        <v>126.7</v>
      </c>
      <c r="N12" s="67">
        <f t="shared" si="0"/>
        <v>5681.6143497757848</v>
      </c>
    </row>
    <row r="13" spans="1:14" x14ac:dyDescent="0.25">
      <c r="A13" t="s">
        <v>60</v>
      </c>
      <c r="B13" s="34" t="s">
        <v>943</v>
      </c>
      <c r="C13" s="35" t="s">
        <v>944</v>
      </c>
      <c r="D13" s="35" t="s">
        <v>945</v>
      </c>
      <c r="E13" s="35" t="s">
        <v>71</v>
      </c>
      <c r="F13" s="36" t="s">
        <v>203</v>
      </c>
      <c r="G13" s="36" t="s">
        <v>922</v>
      </c>
      <c r="H13" s="42" t="s">
        <v>907</v>
      </c>
      <c r="I13" s="35" t="s">
        <v>923</v>
      </c>
      <c r="J13" s="26">
        <v>3</v>
      </c>
      <c r="K13" s="26">
        <v>2.75</v>
      </c>
      <c r="L13" s="26">
        <v>168</v>
      </c>
      <c r="M13">
        <v>387.8</v>
      </c>
      <c r="N13" s="67">
        <f t="shared" si="0"/>
        <v>17390.134529147981</v>
      </c>
    </row>
    <row r="14" spans="1:14" x14ac:dyDescent="0.25">
      <c r="A14" t="s">
        <v>77</v>
      </c>
      <c r="B14" s="34" t="s">
        <v>946</v>
      </c>
      <c r="C14" s="35" t="s">
        <v>947</v>
      </c>
      <c r="D14" s="35" t="s">
        <v>948</v>
      </c>
      <c r="E14" s="35" t="s">
        <v>949</v>
      </c>
      <c r="F14" s="36" t="s">
        <v>48</v>
      </c>
      <c r="G14" s="36" t="s">
        <v>894</v>
      </c>
      <c r="H14" s="42" t="s">
        <v>895</v>
      </c>
      <c r="I14" s="35" t="s">
        <v>950</v>
      </c>
      <c r="J14" s="26">
        <v>1.5</v>
      </c>
      <c r="K14" s="26">
        <v>2</v>
      </c>
      <c r="L14" s="26">
        <v>59.3</v>
      </c>
      <c r="M14">
        <v>138.4</v>
      </c>
      <c r="N14" s="67">
        <f t="shared" si="0"/>
        <v>6206.2780269058294</v>
      </c>
    </row>
    <row r="15" spans="1:14" x14ac:dyDescent="0.25">
      <c r="A15" t="s">
        <v>77</v>
      </c>
      <c r="B15" s="34" t="s">
        <v>951</v>
      </c>
      <c r="C15" s="35" t="s">
        <v>952</v>
      </c>
      <c r="D15" s="35" t="s">
        <v>953</v>
      </c>
      <c r="E15" s="35" t="s">
        <v>949</v>
      </c>
      <c r="F15" s="36" t="s">
        <v>48</v>
      </c>
      <c r="G15" s="36" t="s">
        <v>894</v>
      </c>
      <c r="H15" s="42" t="s">
        <v>895</v>
      </c>
      <c r="I15" s="35" t="s">
        <v>950</v>
      </c>
      <c r="J15" s="26">
        <v>1.5</v>
      </c>
      <c r="K15" s="26">
        <v>2</v>
      </c>
      <c r="L15" s="26">
        <v>59.3</v>
      </c>
      <c r="M15">
        <v>138.4</v>
      </c>
      <c r="N15" s="67">
        <f t="shared" si="0"/>
        <v>6206.2780269058294</v>
      </c>
    </row>
    <row r="16" spans="1:14" x14ac:dyDescent="0.25">
      <c r="A16" t="s">
        <v>77</v>
      </c>
      <c r="B16" s="34" t="s">
        <v>954</v>
      </c>
      <c r="C16" s="35" t="s">
        <v>955</v>
      </c>
      <c r="D16" s="35" t="s">
        <v>956</v>
      </c>
      <c r="E16" s="35" t="s">
        <v>957</v>
      </c>
      <c r="F16" s="36" t="s">
        <v>270</v>
      </c>
      <c r="G16" s="36" t="s">
        <v>901</v>
      </c>
      <c r="H16" s="42" t="s">
        <v>917</v>
      </c>
      <c r="I16" s="35" t="s">
        <v>958</v>
      </c>
      <c r="J16" s="26">
        <v>4</v>
      </c>
      <c r="K16" s="26">
        <v>2.5</v>
      </c>
      <c r="L16" s="26">
        <v>235.6</v>
      </c>
      <c r="M16">
        <v>561.9</v>
      </c>
      <c r="N16" s="67">
        <f t="shared" si="0"/>
        <v>25197.309417040356</v>
      </c>
    </row>
    <row r="17" spans="1:14" x14ac:dyDescent="0.25">
      <c r="A17" t="s">
        <v>77</v>
      </c>
      <c r="B17" s="34" t="s">
        <v>959</v>
      </c>
      <c r="C17" s="35" t="s">
        <v>960</v>
      </c>
      <c r="D17" s="35" t="s">
        <v>961</v>
      </c>
      <c r="E17" s="35" t="s">
        <v>957</v>
      </c>
      <c r="F17" s="36" t="s">
        <v>270</v>
      </c>
      <c r="G17" s="36" t="s">
        <v>901</v>
      </c>
      <c r="H17" s="42" t="s">
        <v>917</v>
      </c>
      <c r="I17" s="35" t="s">
        <v>958</v>
      </c>
      <c r="J17" s="26">
        <v>4</v>
      </c>
      <c r="K17" s="26">
        <v>2.5</v>
      </c>
      <c r="L17" s="26">
        <v>235.6</v>
      </c>
      <c r="M17">
        <v>561.9</v>
      </c>
      <c r="N17" s="67">
        <f t="shared" si="0"/>
        <v>25197.309417040356</v>
      </c>
    </row>
    <row r="18" spans="1:14" x14ac:dyDescent="0.25">
      <c r="A18" t="s">
        <v>77</v>
      </c>
      <c r="B18" s="34" t="s">
        <v>962</v>
      </c>
      <c r="C18" s="35" t="s">
        <v>963</v>
      </c>
      <c r="D18" s="35" t="s">
        <v>964</v>
      </c>
      <c r="E18" s="35" t="s">
        <v>957</v>
      </c>
      <c r="F18" s="36" t="s">
        <v>270</v>
      </c>
      <c r="G18" s="36" t="s">
        <v>901</v>
      </c>
      <c r="H18" s="42" t="s">
        <v>917</v>
      </c>
      <c r="I18" s="35" t="s">
        <v>965</v>
      </c>
      <c r="J18" s="26">
        <v>4</v>
      </c>
      <c r="K18" s="26">
        <v>3</v>
      </c>
      <c r="L18" s="26">
        <v>277.10000000000002</v>
      </c>
      <c r="M18">
        <v>655.20000000000005</v>
      </c>
      <c r="N18" s="67">
        <f t="shared" si="0"/>
        <v>29381.165919282514</v>
      </c>
    </row>
    <row r="19" spans="1:14" x14ac:dyDescent="0.25">
      <c r="A19" t="s">
        <v>77</v>
      </c>
      <c r="B19" s="34" t="s">
        <v>966</v>
      </c>
      <c r="C19" s="35" t="s">
        <v>967</v>
      </c>
      <c r="D19" s="35" t="s">
        <v>968</v>
      </c>
      <c r="E19" s="35" t="s">
        <v>89</v>
      </c>
      <c r="F19" s="36" t="s">
        <v>203</v>
      </c>
      <c r="G19" s="36" t="s">
        <v>922</v>
      </c>
      <c r="H19" s="42" t="s">
        <v>907</v>
      </c>
      <c r="I19" s="35" t="s">
        <v>923</v>
      </c>
      <c r="J19" s="26">
        <v>3</v>
      </c>
      <c r="K19" s="26">
        <v>2.75</v>
      </c>
      <c r="L19" s="26">
        <v>168</v>
      </c>
      <c r="M19">
        <v>387.8</v>
      </c>
      <c r="N19" s="67">
        <f t="shared" si="0"/>
        <v>17390.134529147981</v>
      </c>
    </row>
    <row r="20" spans="1:14" x14ac:dyDescent="0.25">
      <c r="A20" t="s">
        <v>99</v>
      </c>
      <c r="B20" s="34" t="s">
        <v>969</v>
      </c>
      <c r="C20" s="35" t="s">
        <v>970</v>
      </c>
      <c r="D20" s="35" t="s">
        <v>971</v>
      </c>
      <c r="E20" s="35" t="s">
        <v>972</v>
      </c>
      <c r="F20" s="36" t="s">
        <v>48</v>
      </c>
      <c r="G20" s="36" t="s">
        <v>894</v>
      </c>
      <c r="H20" s="42" t="s">
        <v>895</v>
      </c>
      <c r="I20" s="35" t="s">
        <v>973</v>
      </c>
      <c r="J20" s="26">
        <v>1.5</v>
      </c>
      <c r="K20" s="26">
        <v>1.5</v>
      </c>
      <c r="L20" s="26">
        <v>42.4</v>
      </c>
      <c r="M20">
        <v>97.1</v>
      </c>
      <c r="N20" s="67">
        <f t="shared" si="0"/>
        <v>4354.2600896860986</v>
      </c>
    </row>
    <row r="21" spans="1:14" x14ac:dyDescent="0.25">
      <c r="A21" t="s">
        <v>99</v>
      </c>
      <c r="B21" s="34" t="s">
        <v>974</v>
      </c>
      <c r="C21" s="35" t="s">
        <v>975</v>
      </c>
      <c r="D21" s="35" t="s">
        <v>976</v>
      </c>
      <c r="E21" s="35" t="s">
        <v>977</v>
      </c>
      <c r="F21" s="36" t="s">
        <v>270</v>
      </c>
      <c r="G21" s="36" t="s">
        <v>901</v>
      </c>
      <c r="H21" s="42" t="s">
        <v>917</v>
      </c>
      <c r="I21" s="35" t="s">
        <v>978</v>
      </c>
      <c r="J21" s="26">
        <v>4</v>
      </c>
      <c r="K21" s="26">
        <v>2.25</v>
      </c>
      <c r="L21" s="26">
        <v>207.9</v>
      </c>
      <c r="M21">
        <v>485.7</v>
      </c>
      <c r="N21" s="67">
        <f t="shared" si="0"/>
        <v>21780.269058295962</v>
      </c>
    </row>
    <row r="22" spans="1:14" x14ac:dyDescent="0.25">
      <c r="A22" t="s">
        <v>99</v>
      </c>
      <c r="B22" s="34" t="s">
        <v>979</v>
      </c>
      <c r="C22" s="35" t="s">
        <v>980</v>
      </c>
      <c r="D22" s="35" t="s">
        <v>981</v>
      </c>
      <c r="E22" s="35" t="s">
        <v>972</v>
      </c>
      <c r="F22" s="36" t="s">
        <v>48</v>
      </c>
      <c r="G22" s="36" t="s">
        <v>894</v>
      </c>
      <c r="H22" s="42" t="s">
        <v>895</v>
      </c>
      <c r="I22" s="35" t="s">
        <v>982</v>
      </c>
      <c r="J22" s="26">
        <v>1.5</v>
      </c>
      <c r="K22" s="26">
        <v>1.25</v>
      </c>
      <c r="L22" s="26">
        <v>34.6</v>
      </c>
      <c r="M22">
        <v>79.599999999999994</v>
      </c>
      <c r="N22" s="67">
        <f t="shared" si="0"/>
        <v>3569.5067264573986</v>
      </c>
    </row>
    <row r="23" spans="1:14" x14ac:dyDescent="0.25">
      <c r="A23" t="s">
        <v>99</v>
      </c>
      <c r="B23" s="34" t="s">
        <v>983</v>
      </c>
      <c r="C23" s="35" t="s">
        <v>984</v>
      </c>
      <c r="D23" s="35" t="s">
        <v>985</v>
      </c>
      <c r="E23" s="35" t="s">
        <v>977</v>
      </c>
      <c r="F23" s="36" t="s">
        <v>270</v>
      </c>
      <c r="G23" s="36" t="s">
        <v>901</v>
      </c>
      <c r="H23" s="42" t="s">
        <v>902</v>
      </c>
      <c r="I23" s="35" t="s">
        <v>986</v>
      </c>
      <c r="J23" s="26">
        <v>2.5</v>
      </c>
      <c r="K23" s="26">
        <v>1.25</v>
      </c>
      <c r="L23" s="26">
        <v>66.400000000000006</v>
      </c>
      <c r="M23">
        <v>148.69999999999999</v>
      </c>
      <c r="N23" s="67">
        <f t="shared" si="0"/>
        <v>6668.1614349775773</v>
      </c>
    </row>
    <row r="24" spans="1:14" x14ac:dyDescent="0.25">
      <c r="A24" t="s">
        <v>99</v>
      </c>
      <c r="B24" s="34" t="s">
        <v>987</v>
      </c>
      <c r="C24" s="35" t="s">
        <v>988</v>
      </c>
      <c r="D24" s="35" t="s">
        <v>989</v>
      </c>
      <c r="E24" s="35" t="s">
        <v>977</v>
      </c>
      <c r="F24" s="36" t="s">
        <v>270</v>
      </c>
      <c r="G24" s="36" t="s">
        <v>901</v>
      </c>
      <c r="H24" s="42" t="s">
        <v>902</v>
      </c>
      <c r="I24" s="35" t="s">
        <v>986</v>
      </c>
      <c r="J24" s="26">
        <v>2.5</v>
      </c>
      <c r="K24" s="26">
        <v>1.25</v>
      </c>
      <c r="L24" s="26">
        <v>66.400000000000006</v>
      </c>
      <c r="M24">
        <v>148.69999999999999</v>
      </c>
      <c r="N24" s="67">
        <f t="shared" si="0"/>
        <v>6668.1614349775773</v>
      </c>
    </row>
    <row r="25" spans="1:14" x14ac:dyDescent="0.25">
      <c r="A25" t="s">
        <v>99</v>
      </c>
      <c r="B25" s="34" t="s">
        <v>990</v>
      </c>
      <c r="C25" s="35" t="s">
        <v>991</v>
      </c>
      <c r="D25" s="35" t="s">
        <v>992</v>
      </c>
      <c r="E25" s="35" t="s">
        <v>111</v>
      </c>
      <c r="F25" s="36" t="s">
        <v>203</v>
      </c>
      <c r="G25" s="36" t="s">
        <v>922</v>
      </c>
      <c r="H25" s="42" t="s">
        <v>907</v>
      </c>
      <c r="I25" s="35" t="s">
        <v>923</v>
      </c>
      <c r="J25" s="26">
        <v>3</v>
      </c>
      <c r="K25" s="26">
        <v>2.75</v>
      </c>
      <c r="L25" s="26">
        <v>168</v>
      </c>
      <c r="M25">
        <v>387.8</v>
      </c>
      <c r="N25" s="67">
        <f t="shared" si="0"/>
        <v>17390.134529147981</v>
      </c>
    </row>
    <row r="26" spans="1:14" x14ac:dyDescent="0.25">
      <c r="A26" t="s">
        <v>121</v>
      </c>
      <c r="B26" s="34" t="s">
        <v>993</v>
      </c>
      <c r="C26" s="35" t="s">
        <v>994</v>
      </c>
      <c r="D26" s="35" t="s">
        <v>995</v>
      </c>
      <c r="E26" s="35" t="s">
        <v>996</v>
      </c>
      <c r="F26" s="36" t="s">
        <v>48</v>
      </c>
      <c r="G26" s="36" t="s">
        <v>894</v>
      </c>
      <c r="H26" s="42" t="s">
        <v>895</v>
      </c>
      <c r="I26" s="35" t="s">
        <v>896</v>
      </c>
      <c r="J26" s="26">
        <v>1.5</v>
      </c>
      <c r="K26" s="26">
        <v>1.75</v>
      </c>
      <c r="L26" s="26">
        <v>50.7</v>
      </c>
      <c r="M26">
        <v>117</v>
      </c>
      <c r="N26" s="67">
        <f t="shared" si="0"/>
        <v>5246.6367713004483</v>
      </c>
    </row>
    <row r="27" spans="1:14" x14ac:dyDescent="0.25">
      <c r="A27" t="s">
        <v>121</v>
      </c>
      <c r="B27" s="34" t="s">
        <v>997</v>
      </c>
      <c r="C27" s="35" t="s">
        <v>998</v>
      </c>
      <c r="D27" s="35" t="s">
        <v>999</v>
      </c>
      <c r="E27" s="35" t="s">
        <v>996</v>
      </c>
      <c r="F27" s="36" t="s">
        <v>48</v>
      </c>
      <c r="G27" s="36" t="s">
        <v>894</v>
      </c>
      <c r="H27" s="42" t="s">
        <v>895</v>
      </c>
      <c r="I27" s="35" t="s">
        <v>896</v>
      </c>
      <c r="J27" s="26">
        <v>1.5</v>
      </c>
      <c r="K27" s="26">
        <v>1.75</v>
      </c>
      <c r="L27" s="26">
        <v>50.7</v>
      </c>
      <c r="M27">
        <v>117</v>
      </c>
      <c r="N27" s="67">
        <f t="shared" si="0"/>
        <v>5246.6367713004483</v>
      </c>
    </row>
    <row r="28" spans="1:14" x14ac:dyDescent="0.25">
      <c r="A28" t="s">
        <v>121</v>
      </c>
      <c r="B28" s="34" t="s">
        <v>1000</v>
      </c>
      <c r="C28" s="35" t="s">
        <v>1001</v>
      </c>
      <c r="D28" s="35" t="s">
        <v>1002</v>
      </c>
      <c r="E28" s="35" t="s">
        <v>1003</v>
      </c>
      <c r="F28" s="36" t="s">
        <v>270</v>
      </c>
      <c r="G28" s="36" t="s">
        <v>901</v>
      </c>
      <c r="H28" s="42" t="s">
        <v>917</v>
      </c>
      <c r="I28" s="35" t="s">
        <v>1004</v>
      </c>
      <c r="J28" s="26">
        <v>4</v>
      </c>
      <c r="K28" s="26">
        <v>2.25</v>
      </c>
      <c r="L28" s="26">
        <v>203.2</v>
      </c>
      <c r="M28">
        <v>475.8</v>
      </c>
      <c r="N28" s="67">
        <f t="shared" si="0"/>
        <v>21336.322869955158</v>
      </c>
    </row>
    <row r="29" spans="1:14" x14ac:dyDescent="0.25">
      <c r="A29" t="s">
        <v>121</v>
      </c>
      <c r="B29" s="34" t="s">
        <v>1005</v>
      </c>
      <c r="C29" s="35" t="s">
        <v>1006</v>
      </c>
      <c r="D29" s="35" t="s">
        <v>1007</v>
      </c>
      <c r="E29" s="35" t="s">
        <v>1003</v>
      </c>
      <c r="F29" s="36" t="s">
        <v>270</v>
      </c>
      <c r="G29" s="36" t="s">
        <v>901</v>
      </c>
      <c r="H29" s="42" t="s">
        <v>902</v>
      </c>
      <c r="I29" s="35" t="s">
        <v>1008</v>
      </c>
      <c r="J29" s="26">
        <v>2.5</v>
      </c>
      <c r="K29" s="26">
        <v>2.5</v>
      </c>
      <c r="L29" s="26">
        <v>148.69999999999999</v>
      </c>
      <c r="M29">
        <v>343.5</v>
      </c>
      <c r="N29" s="67">
        <f t="shared" si="0"/>
        <v>15403.587443946188</v>
      </c>
    </row>
    <row r="30" spans="1:14" x14ac:dyDescent="0.25">
      <c r="A30" t="s">
        <v>121</v>
      </c>
      <c r="B30" s="34" t="s">
        <v>1009</v>
      </c>
      <c r="C30" s="35" t="s">
        <v>1010</v>
      </c>
      <c r="D30" s="35" t="s">
        <v>1011</v>
      </c>
      <c r="E30" s="35" t="s">
        <v>1003</v>
      </c>
      <c r="F30" s="36" t="s">
        <v>270</v>
      </c>
      <c r="G30" s="36" t="s">
        <v>901</v>
      </c>
      <c r="H30" s="42" t="s">
        <v>917</v>
      </c>
      <c r="I30" s="35" t="s">
        <v>1012</v>
      </c>
      <c r="J30" s="26">
        <v>4</v>
      </c>
      <c r="K30" s="26">
        <v>2</v>
      </c>
      <c r="L30" s="26">
        <v>175.5</v>
      </c>
      <c r="M30">
        <v>405.3</v>
      </c>
      <c r="N30" s="67">
        <f t="shared" si="0"/>
        <v>18174.887892376682</v>
      </c>
    </row>
    <row r="31" spans="1:14" x14ac:dyDescent="0.25">
      <c r="A31" t="s">
        <v>121</v>
      </c>
      <c r="B31" s="34" t="s">
        <v>1013</v>
      </c>
      <c r="C31" s="35" t="s">
        <v>1014</v>
      </c>
      <c r="D31" s="35" t="s">
        <v>1015</v>
      </c>
      <c r="E31" s="35" t="s">
        <v>133</v>
      </c>
      <c r="F31" s="36" t="s">
        <v>203</v>
      </c>
      <c r="G31" s="36" t="s">
        <v>922</v>
      </c>
      <c r="H31" s="42" t="s">
        <v>895</v>
      </c>
      <c r="I31" s="35" t="s">
        <v>942</v>
      </c>
      <c r="J31" s="26">
        <v>1.5</v>
      </c>
      <c r="K31" s="26">
        <v>1.75</v>
      </c>
      <c r="L31" s="26">
        <v>53.7</v>
      </c>
      <c r="M31">
        <v>126.7</v>
      </c>
      <c r="N31" s="67">
        <f t="shared" si="0"/>
        <v>5681.6143497757848</v>
      </c>
    </row>
    <row r="32" spans="1:14" x14ac:dyDescent="0.25">
      <c r="A32" t="s">
        <v>140</v>
      </c>
      <c r="B32" s="34" t="s">
        <v>1016</v>
      </c>
      <c r="C32" s="35" t="s">
        <v>1017</v>
      </c>
      <c r="D32" s="35" t="s">
        <v>1018</v>
      </c>
      <c r="E32" s="35" t="s">
        <v>1019</v>
      </c>
      <c r="F32" s="36" t="s">
        <v>48</v>
      </c>
      <c r="G32" s="36" t="s">
        <v>894</v>
      </c>
      <c r="H32" s="42" t="s">
        <v>895</v>
      </c>
      <c r="I32" s="35" t="s">
        <v>1020</v>
      </c>
      <c r="J32" s="26">
        <v>1.5</v>
      </c>
      <c r="K32" s="26">
        <v>1.25</v>
      </c>
      <c r="L32" s="26">
        <v>33.299999999999997</v>
      </c>
      <c r="M32">
        <v>74.2</v>
      </c>
      <c r="N32" s="67">
        <f t="shared" si="0"/>
        <v>3327.3542600896862</v>
      </c>
    </row>
    <row r="33" spans="1:14" x14ac:dyDescent="0.25">
      <c r="A33" t="s">
        <v>140</v>
      </c>
      <c r="B33" s="34" t="s">
        <v>1021</v>
      </c>
      <c r="C33" s="35" t="s">
        <v>1022</v>
      </c>
      <c r="D33" s="35" t="s">
        <v>1023</v>
      </c>
      <c r="E33" s="35" t="s">
        <v>1019</v>
      </c>
      <c r="F33" s="36" t="s">
        <v>48</v>
      </c>
      <c r="G33" s="36" t="s">
        <v>894</v>
      </c>
      <c r="H33" s="42" t="s">
        <v>895</v>
      </c>
      <c r="I33" s="35" t="s">
        <v>1020</v>
      </c>
      <c r="J33" s="26">
        <v>1.5</v>
      </c>
      <c r="K33" s="26">
        <v>1.25</v>
      </c>
      <c r="L33" s="26">
        <v>33.299999999999997</v>
      </c>
      <c r="M33">
        <v>74.2</v>
      </c>
      <c r="N33" s="67">
        <f t="shared" si="0"/>
        <v>3327.3542600896862</v>
      </c>
    </row>
    <row r="34" spans="1:14" x14ac:dyDescent="0.25">
      <c r="A34" t="s">
        <v>140</v>
      </c>
      <c r="B34" s="34" t="s">
        <v>1024</v>
      </c>
      <c r="C34" s="35" t="s">
        <v>1025</v>
      </c>
      <c r="D34" s="35" t="s">
        <v>1026</v>
      </c>
      <c r="E34" s="35" t="s">
        <v>1019</v>
      </c>
      <c r="F34" s="36" t="s">
        <v>48</v>
      </c>
      <c r="G34" s="36" t="s">
        <v>894</v>
      </c>
      <c r="H34" s="42" t="s">
        <v>895</v>
      </c>
      <c r="I34" s="35" t="s">
        <v>1020</v>
      </c>
      <c r="J34" s="26">
        <v>1.5</v>
      </c>
      <c r="K34" s="26">
        <v>1.25</v>
      </c>
      <c r="L34" s="26">
        <v>33.299999999999997</v>
      </c>
      <c r="M34">
        <v>74.2</v>
      </c>
      <c r="N34" s="67">
        <f t="shared" si="0"/>
        <v>3327.3542600896862</v>
      </c>
    </row>
    <row r="35" spans="1:14" x14ac:dyDescent="0.25">
      <c r="A35" t="s">
        <v>140</v>
      </c>
      <c r="B35" s="34" t="s">
        <v>1027</v>
      </c>
      <c r="C35" s="35" t="s">
        <v>1028</v>
      </c>
      <c r="D35" s="35" t="s">
        <v>1029</v>
      </c>
      <c r="E35" s="35" t="s">
        <v>1030</v>
      </c>
      <c r="F35" s="36" t="s">
        <v>270</v>
      </c>
      <c r="G35" s="36" t="s">
        <v>901</v>
      </c>
      <c r="H35" s="42" t="s">
        <v>917</v>
      </c>
      <c r="I35" s="35" t="s">
        <v>1031</v>
      </c>
      <c r="J35" s="26">
        <v>4</v>
      </c>
      <c r="K35" s="26">
        <v>2.75</v>
      </c>
      <c r="L35" s="26">
        <v>265.60000000000002</v>
      </c>
      <c r="M35">
        <v>623.79999999999995</v>
      </c>
      <c r="N35" s="67">
        <f t="shared" si="0"/>
        <v>27973.094170403583</v>
      </c>
    </row>
    <row r="36" spans="1:14" x14ac:dyDescent="0.25">
      <c r="A36" t="s">
        <v>140</v>
      </c>
      <c r="B36" s="34" t="s">
        <v>1032</v>
      </c>
      <c r="C36" s="35" t="s">
        <v>1033</v>
      </c>
      <c r="D36" s="35" t="s">
        <v>1034</v>
      </c>
      <c r="E36" s="35" t="s">
        <v>1030</v>
      </c>
      <c r="F36" s="36" t="s">
        <v>270</v>
      </c>
      <c r="G36" s="36" t="s">
        <v>901</v>
      </c>
      <c r="H36" s="42" t="s">
        <v>902</v>
      </c>
      <c r="I36" s="35" t="s">
        <v>986</v>
      </c>
      <c r="J36" s="26">
        <v>2.5</v>
      </c>
      <c r="K36" s="26">
        <v>1.25</v>
      </c>
      <c r="L36" s="26">
        <v>66.400000000000006</v>
      </c>
      <c r="M36">
        <v>148.69999999999999</v>
      </c>
      <c r="N36" s="67">
        <f t="shared" si="0"/>
        <v>6668.1614349775773</v>
      </c>
    </row>
    <row r="37" spans="1:14" x14ac:dyDescent="0.25">
      <c r="A37" t="s">
        <v>140</v>
      </c>
      <c r="B37" s="34" t="s">
        <v>1035</v>
      </c>
      <c r="C37" s="35" t="s">
        <v>1036</v>
      </c>
      <c r="D37" s="35" t="s">
        <v>1037</v>
      </c>
      <c r="E37" s="35" t="s">
        <v>152</v>
      </c>
      <c r="F37" s="36" t="s">
        <v>203</v>
      </c>
      <c r="G37" s="36" t="s">
        <v>922</v>
      </c>
      <c r="H37" s="42" t="s">
        <v>907</v>
      </c>
      <c r="I37" s="35" t="s">
        <v>923</v>
      </c>
      <c r="J37" s="26">
        <v>3</v>
      </c>
      <c r="K37" s="26">
        <v>2.75</v>
      </c>
      <c r="L37" s="26">
        <v>168</v>
      </c>
      <c r="M37">
        <v>387.8</v>
      </c>
      <c r="N37" s="67">
        <f t="shared" si="0"/>
        <v>17390.134529147981</v>
      </c>
    </row>
    <row r="38" spans="1:14" x14ac:dyDescent="0.25">
      <c r="A38" t="s">
        <v>164</v>
      </c>
      <c r="B38" s="34" t="s">
        <v>1038</v>
      </c>
      <c r="C38" s="35" t="s">
        <v>1039</v>
      </c>
      <c r="D38" s="35" t="s">
        <v>1040</v>
      </c>
      <c r="E38" s="35" t="s">
        <v>1041</v>
      </c>
      <c r="F38" s="36" t="s">
        <v>48</v>
      </c>
      <c r="G38" s="36" t="s">
        <v>894</v>
      </c>
      <c r="H38" s="42" t="s">
        <v>895</v>
      </c>
      <c r="I38" s="35" t="s">
        <v>1042</v>
      </c>
      <c r="J38" s="26">
        <v>1.5</v>
      </c>
      <c r="K38" s="26">
        <v>1</v>
      </c>
      <c r="L38" s="26">
        <v>26</v>
      </c>
      <c r="M38">
        <v>58.2</v>
      </c>
      <c r="N38" s="67">
        <f t="shared" si="0"/>
        <v>2609.865470852018</v>
      </c>
    </row>
    <row r="39" spans="1:14" x14ac:dyDescent="0.25">
      <c r="A39" t="s">
        <v>164</v>
      </c>
      <c r="B39" s="34" t="s">
        <v>1043</v>
      </c>
      <c r="C39" s="35" t="s">
        <v>1044</v>
      </c>
      <c r="D39" s="35" t="s">
        <v>1045</v>
      </c>
      <c r="E39" s="35" t="s">
        <v>1041</v>
      </c>
      <c r="F39" s="36" t="s">
        <v>48</v>
      </c>
      <c r="G39" s="36" t="s">
        <v>894</v>
      </c>
      <c r="H39" s="42" t="s">
        <v>895</v>
      </c>
      <c r="I39" s="35" t="s">
        <v>1042</v>
      </c>
      <c r="J39" s="26">
        <v>1.5</v>
      </c>
      <c r="K39" s="26">
        <v>1</v>
      </c>
      <c r="L39" s="26">
        <v>26</v>
      </c>
      <c r="M39">
        <v>58.2</v>
      </c>
      <c r="N39" s="67">
        <f t="shared" si="0"/>
        <v>2609.865470852018</v>
      </c>
    </row>
    <row r="40" spans="1:14" x14ac:dyDescent="0.25">
      <c r="A40" t="s">
        <v>164</v>
      </c>
      <c r="B40" s="34" t="s">
        <v>1046</v>
      </c>
      <c r="C40" s="35" t="s">
        <v>1047</v>
      </c>
      <c r="D40" s="35" t="s">
        <v>1048</v>
      </c>
      <c r="E40" s="35" t="s">
        <v>1049</v>
      </c>
      <c r="F40" s="36" t="s">
        <v>270</v>
      </c>
      <c r="G40" s="36" t="s">
        <v>901</v>
      </c>
      <c r="H40" s="42" t="s">
        <v>917</v>
      </c>
      <c r="I40" s="35" t="s">
        <v>1050</v>
      </c>
      <c r="J40" s="26">
        <v>4</v>
      </c>
      <c r="K40" s="26">
        <v>2.25</v>
      </c>
      <c r="L40" s="26">
        <v>196.3</v>
      </c>
      <c r="M40">
        <v>452</v>
      </c>
      <c r="N40" s="67">
        <f t="shared" si="0"/>
        <v>20269.058295964125</v>
      </c>
    </row>
    <row r="41" spans="1:14" x14ac:dyDescent="0.25">
      <c r="A41" t="s">
        <v>164</v>
      </c>
      <c r="B41" s="34" t="s">
        <v>1051</v>
      </c>
      <c r="C41" s="35" t="s">
        <v>1052</v>
      </c>
      <c r="D41" s="35" t="s">
        <v>1053</v>
      </c>
      <c r="E41" s="35" t="s">
        <v>1041</v>
      </c>
      <c r="F41" s="36" t="s">
        <v>48</v>
      </c>
      <c r="G41" s="36" t="s">
        <v>894</v>
      </c>
      <c r="H41" s="42" t="s">
        <v>895</v>
      </c>
      <c r="I41" s="35" t="s">
        <v>1042</v>
      </c>
      <c r="J41" s="26">
        <v>1.5</v>
      </c>
      <c r="K41" s="26">
        <v>1</v>
      </c>
      <c r="L41" s="26">
        <v>26</v>
      </c>
      <c r="M41">
        <v>58.2</v>
      </c>
      <c r="N41" s="67">
        <f t="shared" si="0"/>
        <v>2609.865470852018</v>
      </c>
    </row>
    <row r="42" spans="1:14" x14ac:dyDescent="0.25">
      <c r="A42" t="s">
        <v>164</v>
      </c>
      <c r="B42" s="34" t="s">
        <v>1054</v>
      </c>
      <c r="C42" s="35" t="s">
        <v>1055</v>
      </c>
      <c r="D42" s="35" t="s">
        <v>1056</v>
      </c>
      <c r="E42" s="35" t="s">
        <v>1049</v>
      </c>
      <c r="F42" s="36" t="s">
        <v>270</v>
      </c>
      <c r="G42" s="36" t="s">
        <v>901</v>
      </c>
      <c r="H42" s="42" t="s">
        <v>917</v>
      </c>
      <c r="I42" s="35" t="s">
        <v>1057</v>
      </c>
      <c r="J42" s="26">
        <v>4</v>
      </c>
      <c r="K42" s="26">
        <v>4.25</v>
      </c>
      <c r="L42" s="26">
        <v>420.3</v>
      </c>
      <c r="M42">
        <v>1000.7</v>
      </c>
      <c r="N42" s="67">
        <f t="shared" si="0"/>
        <v>44874.439461883405</v>
      </c>
    </row>
    <row r="43" spans="1:14" x14ac:dyDescent="0.25">
      <c r="A43" t="s">
        <v>164</v>
      </c>
      <c r="B43" s="34" t="s">
        <v>1058</v>
      </c>
      <c r="C43" s="35" t="s">
        <v>1059</v>
      </c>
      <c r="D43" s="35" t="s">
        <v>1060</v>
      </c>
      <c r="E43" s="35" t="s">
        <v>175</v>
      </c>
      <c r="F43" s="36" t="s">
        <v>203</v>
      </c>
      <c r="G43" s="36" t="s">
        <v>922</v>
      </c>
      <c r="H43" s="42" t="s">
        <v>895</v>
      </c>
      <c r="I43" s="35" t="s">
        <v>942</v>
      </c>
      <c r="J43" s="26">
        <v>1.5</v>
      </c>
      <c r="K43" s="26">
        <v>1.75</v>
      </c>
      <c r="L43" s="26">
        <v>53.7</v>
      </c>
      <c r="M43">
        <v>126.7</v>
      </c>
      <c r="N43" s="67">
        <f t="shared" si="0"/>
        <v>5681.6143497757848</v>
      </c>
    </row>
    <row r="44" spans="1:14" x14ac:dyDescent="0.25">
      <c r="A44" t="s">
        <v>1061</v>
      </c>
      <c r="B44" s="34" t="s">
        <v>1062</v>
      </c>
      <c r="C44" s="35" t="s">
        <v>1063</v>
      </c>
      <c r="D44" s="35" t="s">
        <v>1064</v>
      </c>
      <c r="E44" s="35" t="s">
        <v>1065</v>
      </c>
      <c r="F44" s="36" t="s">
        <v>48</v>
      </c>
      <c r="G44" s="36" t="s">
        <v>894</v>
      </c>
      <c r="H44" s="42" t="s">
        <v>895</v>
      </c>
      <c r="I44" s="35" t="s">
        <v>1066</v>
      </c>
      <c r="J44" s="26">
        <v>1.5</v>
      </c>
      <c r="K44" s="26">
        <v>2.25</v>
      </c>
      <c r="L44" s="26">
        <v>67.099999999999994</v>
      </c>
      <c r="M44">
        <v>155.9</v>
      </c>
      <c r="N44" s="67">
        <f t="shared" si="0"/>
        <v>6991.0313901345289</v>
      </c>
    </row>
    <row r="45" spans="1:14" x14ac:dyDescent="0.25">
      <c r="A45" t="s">
        <v>1061</v>
      </c>
      <c r="B45" s="34" t="s">
        <v>1067</v>
      </c>
      <c r="C45" s="35" t="s">
        <v>1068</v>
      </c>
      <c r="D45" s="35" t="s">
        <v>1069</v>
      </c>
      <c r="E45" s="35" t="s">
        <v>1065</v>
      </c>
      <c r="F45" s="36" t="s">
        <v>48</v>
      </c>
      <c r="G45" s="36" t="s">
        <v>894</v>
      </c>
      <c r="H45" s="42" t="s">
        <v>895</v>
      </c>
      <c r="I45" s="35" t="s">
        <v>950</v>
      </c>
      <c r="J45" s="26">
        <v>1.5</v>
      </c>
      <c r="K45" s="26">
        <v>2</v>
      </c>
      <c r="L45" s="26">
        <v>59.3</v>
      </c>
      <c r="M45">
        <v>138.4</v>
      </c>
      <c r="N45" s="67">
        <f t="shared" si="0"/>
        <v>6206.2780269058294</v>
      </c>
    </row>
    <row r="46" spans="1:14" x14ac:dyDescent="0.25">
      <c r="A46" t="s">
        <v>1061</v>
      </c>
      <c r="B46" s="34" t="s">
        <v>1070</v>
      </c>
      <c r="C46" s="35" t="s">
        <v>1071</v>
      </c>
      <c r="D46" s="35" t="s">
        <v>1069</v>
      </c>
      <c r="E46" s="35" t="s">
        <v>1065</v>
      </c>
      <c r="F46" s="36" t="s">
        <v>48</v>
      </c>
      <c r="G46" s="36" t="s">
        <v>894</v>
      </c>
      <c r="H46" s="42" t="s">
        <v>895</v>
      </c>
      <c r="I46" s="35" t="s">
        <v>1066</v>
      </c>
      <c r="J46" s="26">
        <v>1.5</v>
      </c>
      <c r="K46" s="26">
        <v>2.25</v>
      </c>
      <c r="L46" s="26">
        <v>67.099999999999994</v>
      </c>
      <c r="M46">
        <v>155.9</v>
      </c>
      <c r="N46" s="67">
        <f t="shared" si="0"/>
        <v>6991.0313901345289</v>
      </c>
    </row>
    <row r="47" spans="1:14" x14ac:dyDescent="0.25">
      <c r="A47" t="s">
        <v>1061</v>
      </c>
      <c r="B47" s="34" t="s">
        <v>1072</v>
      </c>
      <c r="C47" s="35" t="s">
        <v>1073</v>
      </c>
      <c r="D47" s="35" t="s">
        <v>1074</v>
      </c>
      <c r="E47" s="35" t="s">
        <v>1065</v>
      </c>
      <c r="F47" s="36" t="s">
        <v>48</v>
      </c>
      <c r="G47" s="36" t="s">
        <v>894</v>
      </c>
      <c r="H47" s="42" t="s">
        <v>895</v>
      </c>
      <c r="I47" s="35" t="s">
        <v>950</v>
      </c>
      <c r="J47" s="26">
        <v>1.5</v>
      </c>
      <c r="K47" s="26">
        <v>2</v>
      </c>
      <c r="L47" s="26">
        <v>59.3</v>
      </c>
      <c r="M47">
        <v>138.4</v>
      </c>
      <c r="N47" s="67">
        <f t="shared" si="0"/>
        <v>6206.2780269058294</v>
      </c>
    </row>
    <row r="48" spans="1:14" x14ac:dyDescent="0.25">
      <c r="A48" t="s">
        <v>1061</v>
      </c>
      <c r="B48" s="34" t="s">
        <v>1075</v>
      </c>
      <c r="C48" s="35" t="s">
        <v>1076</v>
      </c>
      <c r="D48" s="35" t="s">
        <v>1077</v>
      </c>
      <c r="E48" s="35" t="s">
        <v>1078</v>
      </c>
      <c r="F48" s="36" t="s">
        <v>270</v>
      </c>
      <c r="G48" s="36" t="s">
        <v>901</v>
      </c>
      <c r="H48" s="42" t="s">
        <v>917</v>
      </c>
      <c r="I48" s="35" t="s">
        <v>958</v>
      </c>
      <c r="J48" s="26">
        <v>4</v>
      </c>
      <c r="K48" s="26">
        <v>2.5</v>
      </c>
      <c r="L48" s="26">
        <v>235.6</v>
      </c>
      <c r="M48">
        <v>561.9</v>
      </c>
      <c r="N48" s="67">
        <f t="shared" si="0"/>
        <v>25197.309417040356</v>
      </c>
    </row>
    <row r="49" spans="1:14" x14ac:dyDescent="0.25">
      <c r="A49" t="s">
        <v>1061</v>
      </c>
      <c r="B49" s="34" t="s">
        <v>1079</v>
      </c>
      <c r="C49" s="35" t="s">
        <v>1080</v>
      </c>
      <c r="D49" s="35" t="s">
        <v>1081</v>
      </c>
      <c r="E49" s="35" t="s">
        <v>1082</v>
      </c>
      <c r="F49" s="36" t="s">
        <v>203</v>
      </c>
      <c r="G49" s="36" t="s">
        <v>922</v>
      </c>
      <c r="H49" s="42" t="s">
        <v>895</v>
      </c>
      <c r="I49" s="35" t="s">
        <v>942</v>
      </c>
      <c r="J49" s="26">
        <v>1.5</v>
      </c>
      <c r="K49" s="26">
        <v>1.75</v>
      </c>
      <c r="L49" s="26">
        <v>53.7</v>
      </c>
      <c r="M49">
        <v>126.7</v>
      </c>
      <c r="N49" s="67">
        <f t="shared" si="0"/>
        <v>5681.6143497757848</v>
      </c>
    </row>
    <row r="50" spans="1:14" x14ac:dyDescent="0.25">
      <c r="A50" t="s">
        <v>187</v>
      </c>
      <c r="B50" s="34" t="s">
        <v>1083</v>
      </c>
      <c r="C50" s="35" t="s">
        <v>1084</v>
      </c>
      <c r="D50" s="35" t="s">
        <v>1085</v>
      </c>
      <c r="E50" s="35" t="s">
        <v>1086</v>
      </c>
      <c r="F50" s="36" t="s">
        <v>48</v>
      </c>
      <c r="G50" s="36" t="s">
        <v>894</v>
      </c>
      <c r="H50" s="42" t="s">
        <v>895</v>
      </c>
      <c r="I50" s="35" t="s">
        <v>896</v>
      </c>
      <c r="J50" s="26">
        <v>1.5</v>
      </c>
      <c r="K50" s="26">
        <v>1.75</v>
      </c>
      <c r="L50" s="26">
        <v>50.7</v>
      </c>
      <c r="M50">
        <v>117</v>
      </c>
      <c r="N50" s="67">
        <f t="shared" si="0"/>
        <v>5246.6367713004483</v>
      </c>
    </row>
    <row r="51" spans="1:14" x14ac:dyDescent="0.25">
      <c r="A51" t="s">
        <v>187</v>
      </c>
      <c r="B51" s="34" t="s">
        <v>1087</v>
      </c>
      <c r="C51" s="35" t="s">
        <v>1088</v>
      </c>
      <c r="D51" s="35" t="s">
        <v>1089</v>
      </c>
      <c r="E51" s="35" t="s">
        <v>1086</v>
      </c>
      <c r="F51" s="36" t="s">
        <v>48</v>
      </c>
      <c r="G51" s="36" t="s">
        <v>894</v>
      </c>
      <c r="H51" s="42" t="s">
        <v>895</v>
      </c>
      <c r="I51" s="35" t="s">
        <v>896</v>
      </c>
      <c r="J51" s="26">
        <v>1.5</v>
      </c>
      <c r="K51" s="26">
        <v>1.75</v>
      </c>
      <c r="L51" s="26">
        <v>50.7</v>
      </c>
      <c r="M51">
        <v>117</v>
      </c>
      <c r="N51" s="67">
        <f t="shared" si="0"/>
        <v>5246.6367713004483</v>
      </c>
    </row>
    <row r="52" spans="1:14" x14ac:dyDescent="0.25">
      <c r="A52" t="s">
        <v>187</v>
      </c>
      <c r="B52" s="34" t="s">
        <v>1090</v>
      </c>
      <c r="C52" s="35" t="s">
        <v>1091</v>
      </c>
      <c r="D52" s="35" t="s">
        <v>1092</v>
      </c>
      <c r="E52" s="35" t="s">
        <v>1086</v>
      </c>
      <c r="F52" s="36" t="s">
        <v>48</v>
      </c>
      <c r="G52" s="36" t="s">
        <v>894</v>
      </c>
      <c r="H52" s="42" t="s">
        <v>895</v>
      </c>
      <c r="I52" s="35" t="s">
        <v>1093</v>
      </c>
      <c r="J52" s="26">
        <v>1.5</v>
      </c>
      <c r="K52" s="26">
        <v>2</v>
      </c>
      <c r="L52" s="26">
        <v>58.5</v>
      </c>
      <c r="M52">
        <v>134.5</v>
      </c>
      <c r="N52" s="67">
        <f t="shared" si="0"/>
        <v>6031.3901345291479</v>
      </c>
    </row>
    <row r="53" spans="1:14" x14ac:dyDescent="0.25">
      <c r="A53" t="s">
        <v>187</v>
      </c>
      <c r="B53" s="34" t="s">
        <v>1094</v>
      </c>
      <c r="C53" s="35" t="s">
        <v>1095</v>
      </c>
      <c r="D53" s="35" t="s">
        <v>1096</v>
      </c>
      <c r="E53" s="35" t="s">
        <v>1097</v>
      </c>
      <c r="F53" s="36" t="s">
        <v>270</v>
      </c>
      <c r="G53" s="36" t="s">
        <v>901</v>
      </c>
      <c r="H53" s="42" t="s">
        <v>902</v>
      </c>
      <c r="I53" s="35" t="s">
        <v>1098</v>
      </c>
      <c r="J53" s="26">
        <v>2.5</v>
      </c>
      <c r="K53" s="26">
        <v>1.75</v>
      </c>
      <c r="L53" s="26">
        <v>99.6</v>
      </c>
      <c r="M53">
        <v>228.1</v>
      </c>
      <c r="N53" s="67">
        <f t="shared" si="0"/>
        <v>10228.699551569505</v>
      </c>
    </row>
    <row r="54" spans="1:14" x14ac:dyDescent="0.25">
      <c r="A54" t="s">
        <v>187</v>
      </c>
      <c r="B54" s="34" t="s">
        <v>1099</v>
      </c>
      <c r="C54" s="35" t="s">
        <v>1100</v>
      </c>
      <c r="D54" s="35" t="s">
        <v>1101</v>
      </c>
      <c r="E54" s="35" t="s">
        <v>1097</v>
      </c>
      <c r="F54" s="36" t="s">
        <v>270</v>
      </c>
      <c r="G54" s="36" t="s">
        <v>901</v>
      </c>
      <c r="H54" s="42" t="s">
        <v>917</v>
      </c>
      <c r="I54" s="35" t="s">
        <v>1102</v>
      </c>
      <c r="J54" s="26">
        <v>4</v>
      </c>
      <c r="K54" s="26">
        <v>3.75</v>
      </c>
      <c r="L54" s="26">
        <v>362.6</v>
      </c>
      <c r="M54">
        <v>862.6</v>
      </c>
      <c r="N54" s="67">
        <f t="shared" si="0"/>
        <v>38681.614349775788</v>
      </c>
    </row>
    <row r="55" spans="1:14" x14ac:dyDescent="0.25">
      <c r="A55" t="s">
        <v>187</v>
      </c>
      <c r="B55" s="34" t="s">
        <v>1103</v>
      </c>
      <c r="C55" s="35" t="s">
        <v>1104</v>
      </c>
      <c r="D55" s="35" t="s">
        <v>1105</v>
      </c>
      <c r="E55" s="35" t="s">
        <v>1097</v>
      </c>
      <c r="F55" s="36" t="s">
        <v>270</v>
      </c>
      <c r="G55" s="36" t="s">
        <v>901</v>
      </c>
      <c r="H55" s="42" t="s">
        <v>917</v>
      </c>
      <c r="I55" s="35" t="s">
        <v>1106</v>
      </c>
      <c r="J55" s="26">
        <v>4</v>
      </c>
      <c r="K55" s="26">
        <v>2.75</v>
      </c>
      <c r="L55" s="26">
        <v>249.4</v>
      </c>
      <c r="M55">
        <v>579</v>
      </c>
      <c r="N55" s="67">
        <f t="shared" si="0"/>
        <v>25964.125560538116</v>
      </c>
    </row>
    <row r="56" spans="1:14" x14ac:dyDescent="0.25">
      <c r="A56" t="s">
        <v>187</v>
      </c>
      <c r="B56" s="34" t="s">
        <v>1107</v>
      </c>
      <c r="C56" s="35" t="s">
        <v>1108</v>
      </c>
      <c r="D56" s="35" t="s">
        <v>1109</v>
      </c>
      <c r="E56" s="35" t="s">
        <v>1097</v>
      </c>
      <c r="F56" s="36" t="s">
        <v>270</v>
      </c>
      <c r="G56" s="36" t="s">
        <v>901</v>
      </c>
      <c r="H56" s="42" t="s">
        <v>902</v>
      </c>
      <c r="I56" s="35" t="s">
        <v>1110</v>
      </c>
      <c r="J56" s="26">
        <v>2.5</v>
      </c>
      <c r="K56" s="26">
        <v>2.25</v>
      </c>
      <c r="L56" s="26">
        <v>131.4</v>
      </c>
      <c r="M56">
        <v>304</v>
      </c>
      <c r="N56" s="67">
        <f t="shared" si="0"/>
        <v>13632.286995515695</v>
      </c>
    </row>
    <row r="57" spans="1:14" x14ac:dyDescent="0.25">
      <c r="A57" t="s">
        <v>187</v>
      </c>
      <c r="B57" s="34" t="s">
        <v>1111</v>
      </c>
      <c r="C57" s="35" t="s">
        <v>1112</v>
      </c>
      <c r="D57" s="35" t="s">
        <v>1113</v>
      </c>
      <c r="E57" s="35" t="s">
        <v>199</v>
      </c>
      <c r="F57" s="36" t="s">
        <v>203</v>
      </c>
      <c r="G57" s="36" t="s">
        <v>922</v>
      </c>
      <c r="H57" s="42" t="s">
        <v>1114</v>
      </c>
      <c r="I57" s="35" t="s">
        <v>923</v>
      </c>
      <c r="J57" s="26">
        <v>4.5</v>
      </c>
      <c r="K57" s="26">
        <v>2.75</v>
      </c>
      <c r="L57" s="26">
        <v>252</v>
      </c>
      <c r="M57">
        <v>581.70000000000005</v>
      </c>
      <c r="N57" s="67">
        <f t="shared" si="0"/>
        <v>26085.201793721975</v>
      </c>
    </row>
    <row r="58" spans="1:14" x14ac:dyDescent="0.25">
      <c r="A58" t="s">
        <v>211</v>
      </c>
      <c r="B58" s="34" t="s">
        <v>1115</v>
      </c>
      <c r="C58" s="35" t="s">
        <v>1116</v>
      </c>
      <c r="D58" s="35" t="s">
        <v>1117</v>
      </c>
      <c r="E58" s="35" t="s">
        <v>1118</v>
      </c>
      <c r="F58" s="36" t="s">
        <v>48</v>
      </c>
      <c r="G58" s="36" t="s">
        <v>894</v>
      </c>
      <c r="H58" s="42" t="s">
        <v>895</v>
      </c>
      <c r="I58" s="35" t="s">
        <v>1119</v>
      </c>
      <c r="J58" s="26">
        <v>1.5</v>
      </c>
      <c r="K58" s="26">
        <v>1.75</v>
      </c>
      <c r="L58" s="26">
        <v>52</v>
      </c>
      <c r="M58">
        <v>122.4</v>
      </c>
      <c r="N58" s="67">
        <f t="shared" si="0"/>
        <v>5488.7892376681611</v>
      </c>
    </row>
    <row r="59" spans="1:14" x14ac:dyDescent="0.25">
      <c r="A59" t="s">
        <v>211</v>
      </c>
      <c r="B59" s="34" t="s">
        <v>1120</v>
      </c>
      <c r="C59" s="35" t="s">
        <v>1121</v>
      </c>
      <c r="D59" s="35" t="s">
        <v>1122</v>
      </c>
      <c r="E59" s="35" t="s">
        <v>1123</v>
      </c>
      <c r="F59" s="36" t="s">
        <v>270</v>
      </c>
      <c r="G59" s="36" t="s">
        <v>901</v>
      </c>
      <c r="H59" s="42" t="s">
        <v>902</v>
      </c>
      <c r="I59" s="35" t="s">
        <v>1124</v>
      </c>
      <c r="J59" s="26">
        <v>2.5</v>
      </c>
      <c r="K59" s="26">
        <v>2</v>
      </c>
      <c r="L59" s="26">
        <v>116.9</v>
      </c>
      <c r="M59">
        <v>275.7</v>
      </c>
      <c r="N59" s="67">
        <f t="shared" si="0"/>
        <v>12363.228699551568</v>
      </c>
    </row>
    <row r="60" spans="1:14" x14ac:dyDescent="0.25">
      <c r="A60" t="s">
        <v>211</v>
      </c>
      <c r="B60" s="34" t="s">
        <v>1125</v>
      </c>
      <c r="C60" s="35" t="s">
        <v>1126</v>
      </c>
      <c r="D60" s="35" t="s">
        <v>1127</v>
      </c>
      <c r="E60" s="35" t="s">
        <v>1118</v>
      </c>
      <c r="F60" s="36" t="s">
        <v>48</v>
      </c>
      <c r="G60" s="36" t="s">
        <v>894</v>
      </c>
      <c r="H60" s="42" t="s">
        <v>895</v>
      </c>
      <c r="I60" s="35" t="s">
        <v>1119</v>
      </c>
      <c r="J60" s="26">
        <v>1.5</v>
      </c>
      <c r="K60" s="26">
        <v>1.75</v>
      </c>
      <c r="L60" s="26">
        <v>52</v>
      </c>
      <c r="M60">
        <v>122.4</v>
      </c>
      <c r="N60" s="67">
        <f t="shared" si="0"/>
        <v>5488.7892376681611</v>
      </c>
    </row>
    <row r="61" spans="1:14" x14ac:dyDescent="0.25">
      <c r="A61" t="s">
        <v>211</v>
      </c>
      <c r="B61" s="34" t="s">
        <v>1128</v>
      </c>
      <c r="C61" s="35" t="s">
        <v>1129</v>
      </c>
      <c r="D61" s="35" t="s">
        <v>1130</v>
      </c>
      <c r="E61" s="35" t="s">
        <v>1123</v>
      </c>
      <c r="F61" s="36" t="s">
        <v>270</v>
      </c>
      <c r="G61" s="36" t="s">
        <v>901</v>
      </c>
      <c r="H61" s="42" t="s">
        <v>917</v>
      </c>
      <c r="I61" s="35" t="s">
        <v>958</v>
      </c>
      <c r="J61" s="26">
        <v>4</v>
      </c>
      <c r="K61" s="26">
        <v>2.5</v>
      </c>
      <c r="L61" s="26">
        <v>235.6</v>
      </c>
      <c r="M61">
        <v>561.9</v>
      </c>
      <c r="N61" s="67">
        <f t="shared" si="0"/>
        <v>25197.309417040356</v>
      </c>
    </row>
    <row r="62" spans="1:14" x14ac:dyDescent="0.25">
      <c r="A62" t="s">
        <v>211</v>
      </c>
      <c r="B62" s="34" t="s">
        <v>1131</v>
      </c>
      <c r="C62" s="35" t="s">
        <v>1132</v>
      </c>
      <c r="D62" s="35" t="s">
        <v>1133</v>
      </c>
      <c r="E62" s="35" t="s">
        <v>222</v>
      </c>
      <c r="F62" s="36" t="s">
        <v>203</v>
      </c>
      <c r="G62" s="36" t="s">
        <v>922</v>
      </c>
      <c r="H62" s="42" t="s">
        <v>907</v>
      </c>
      <c r="I62" s="35" t="s">
        <v>1134</v>
      </c>
      <c r="J62" s="26">
        <v>3</v>
      </c>
      <c r="K62" s="26">
        <v>2</v>
      </c>
      <c r="L62" s="26">
        <v>124.7</v>
      </c>
      <c r="M62">
        <v>292</v>
      </c>
      <c r="N62" s="67">
        <f t="shared" si="0"/>
        <v>13094.170403587443</v>
      </c>
    </row>
    <row r="63" spans="1:14" x14ac:dyDescent="0.25">
      <c r="A63" t="s">
        <v>211</v>
      </c>
      <c r="B63" s="34" t="s">
        <v>1135</v>
      </c>
      <c r="C63" s="35" t="s">
        <v>1136</v>
      </c>
      <c r="D63" s="35" t="s">
        <v>1137</v>
      </c>
      <c r="E63" s="35" t="s">
        <v>222</v>
      </c>
      <c r="F63" s="36" t="s">
        <v>203</v>
      </c>
      <c r="G63" s="36" t="s">
        <v>922</v>
      </c>
      <c r="H63" s="42" t="s">
        <v>1114</v>
      </c>
      <c r="I63" s="35" t="s">
        <v>923</v>
      </c>
      <c r="J63" s="26">
        <v>4.5</v>
      </c>
      <c r="K63" s="26">
        <v>2.75</v>
      </c>
      <c r="L63" s="26">
        <v>252</v>
      </c>
      <c r="M63">
        <v>581.70000000000005</v>
      </c>
      <c r="N63" s="67">
        <f t="shared" si="0"/>
        <v>26085.201793721975</v>
      </c>
    </row>
    <row r="64" spans="1:14" x14ac:dyDescent="0.25">
      <c r="A64" t="s">
        <v>211</v>
      </c>
      <c r="B64" s="34" t="s">
        <v>1138</v>
      </c>
      <c r="C64" s="35" t="s">
        <v>1139</v>
      </c>
      <c r="D64" s="35" t="s">
        <v>1140</v>
      </c>
      <c r="E64" s="35" t="s">
        <v>1118</v>
      </c>
      <c r="F64" s="36" t="s">
        <v>48</v>
      </c>
      <c r="G64" s="36" t="s">
        <v>894</v>
      </c>
      <c r="H64" s="42" t="s">
        <v>895</v>
      </c>
      <c r="I64" s="35" t="s">
        <v>1119</v>
      </c>
      <c r="J64" s="26">
        <v>1.5</v>
      </c>
      <c r="K64" s="26">
        <v>1.75</v>
      </c>
      <c r="L64" s="26">
        <v>52</v>
      </c>
      <c r="M64">
        <v>122.4</v>
      </c>
      <c r="N64" s="67">
        <f t="shared" si="0"/>
        <v>5488.7892376681611</v>
      </c>
    </row>
    <row r="65" spans="1:14" x14ac:dyDescent="0.25">
      <c r="A65" t="s">
        <v>232</v>
      </c>
      <c r="B65" s="34" t="s">
        <v>1141</v>
      </c>
      <c r="C65" s="35" t="s">
        <v>1142</v>
      </c>
      <c r="D65" s="35" t="s">
        <v>1143</v>
      </c>
      <c r="E65" s="35" t="s">
        <v>1144</v>
      </c>
      <c r="F65" s="36" t="s">
        <v>48</v>
      </c>
      <c r="G65" s="36" t="s">
        <v>894</v>
      </c>
      <c r="H65" s="42" t="s">
        <v>895</v>
      </c>
      <c r="I65" s="35" t="s">
        <v>1066</v>
      </c>
      <c r="J65" s="26">
        <v>1.5</v>
      </c>
      <c r="K65" s="26">
        <v>2.25</v>
      </c>
      <c r="L65" s="26">
        <v>67.099999999999994</v>
      </c>
      <c r="M65">
        <v>155.9</v>
      </c>
      <c r="N65" s="67">
        <f t="shared" si="0"/>
        <v>6991.0313901345289</v>
      </c>
    </row>
    <row r="66" spans="1:14" x14ac:dyDescent="0.25">
      <c r="A66" t="s">
        <v>232</v>
      </c>
      <c r="B66" s="34" t="s">
        <v>1145</v>
      </c>
      <c r="C66" s="35" t="s">
        <v>1146</v>
      </c>
      <c r="D66" s="35" t="s">
        <v>1147</v>
      </c>
      <c r="E66" s="35" t="s">
        <v>1144</v>
      </c>
      <c r="F66" s="36" t="s">
        <v>48</v>
      </c>
      <c r="G66" s="36" t="s">
        <v>894</v>
      </c>
      <c r="H66" s="42" t="s">
        <v>895</v>
      </c>
      <c r="I66" s="35" t="s">
        <v>950</v>
      </c>
      <c r="J66" s="26">
        <v>1.5</v>
      </c>
      <c r="K66" s="26">
        <v>2</v>
      </c>
      <c r="L66" s="26">
        <v>59.3</v>
      </c>
      <c r="M66">
        <v>138.4</v>
      </c>
      <c r="N66" s="67">
        <f t="shared" ref="N66:N129" si="1">(40000/892)*M66</f>
        <v>6206.2780269058294</v>
      </c>
    </row>
    <row r="67" spans="1:14" x14ac:dyDescent="0.25">
      <c r="A67" t="s">
        <v>232</v>
      </c>
      <c r="B67" s="34" t="s">
        <v>1148</v>
      </c>
      <c r="C67" s="35" t="s">
        <v>1149</v>
      </c>
      <c r="D67" s="35" t="s">
        <v>1150</v>
      </c>
      <c r="E67" s="35" t="s">
        <v>1144</v>
      </c>
      <c r="F67" s="36" t="s">
        <v>48</v>
      </c>
      <c r="G67" s="36" t="s">
        <v>894</v>
      </c>
      <c r="H67" s="42" t="s">
        <v>895</v>
      </c>
      <c r="I67" s="35" t="s">
        <v>950</v>
      </c>
      <c r="J67" s="26">
        <v>1.5</v>
      </c>
      <c r="K67" s="26">
        <v>2</v>
      </c>
      <c r="L67" s="26">
        <v>59.3</v>
      </c>
      <c r="M67">
        <v>138.4</v>
      </c>
      <c r="N67" s="67">
        <f t="shared" si="1"/>
        <v>6206.2780269058294</v>
      </c>
    </row>
    <row r="68" spans="1:14" x14ac:dyDescent="0.25">
      <c r="A68" t="s">
        <v>232</v>
      </c>
      <c r="B68" s="34" t="s">
        <v>1151</v>
      </c>
      <c r="C68" s="35" t="s">
        <v>1152</v>
      </c>
      <c r="D68" s="35" t="s">
        <v>1153</v>
      </c>
      <c r="E68" s="35" t="s">
        <v>243</v>
      </c>
      <c r="F68" s="36" t="s">
        <v>203</v>
      </c>
      <c r="G68" s="36" t="s">
        <v>922</v>
      </c>
      <c r="H68" s="42" t="s">
        <v>895</v>
      </c>
      <c r="I68" s="35" t="s">
        <v>1154</v>
      </c>
      <c r="J68" s="26">
        <v>1.5</v>
      </c>
      <c r="K68" s="26">
        <v>1</v>
      </c>
      <c r="L68" s="26">
        <v>32</v>
      </c>
      <c r="M68">
        <v>78.8</v>
      </c>
      <c r="N68" s="67">
        <f t="shared" si="1"/>
        <v>3533.6322869955152</v>
      </c>
    </row>
    <row r="69" spans="1:14" x14ac:dyDescent="0.25">
      <c r="A69" t="s">
        <v>232</v>
      </c>
      <c r="B69" s="34" t="s">
        <v>1155</v>
      </c>
      <c r="C69" s="35" t="s">
        <v>1156</v>
      </c>
      <c r="D69" s="35" t="s">
        <v>1157</v>
      </c>
      <c r="E69" s="35" t="s">
        <v>1158</v>
      </c>
      <c r="F69" s="36" t="s">
        <v>270</v>
      </c>
      <c r="G69" s="36" t="s">
        <v>901</v>
      </c>
      <c r="H69" s="42" t="s">
        <v>902</v>
      </c>
      <c r="I69" s="35" t="s">
        <v>986</v>
      </c>
      <c r="J69" s="26">
        <v>2.5</v>
      </c>
      <c r="K69" s="26">
        <v>1.25</v>
      </c>
      <c r="L69" s="26">
        <v>66.400000000000006</v>
      </c>
      <c r="M69">
        <v>148.69999999999999</v>
      </c>
      <c r="N69" s="67">
        <f t="shared" si="1"/>
        <v>6668.1614349775773</v>
      </c>
    </row>
    <row r="70" spans="1:14" x14ac:dyDescent="0.25">
      <c r="A70" t="s">
        <v>232</v>
      </c>
      <c r="B70" s="34" t="s">
        <v>1159</v>
      </c>
      <c r="C70" s="35" t="s">
        <v>1160</v>
      </c>
      <c r="D70" s="35" t="s">
        <v>1161</v>
      </c>
      <c r="E70" s="35" t="s">
        <v>1158</v>
      </c>
      <c r="F70" s="36" t="s">
        <v>270</v>
      </c>
      <c r="G70" s="36" t="s">
        <v>901</v>
      </c>
      <c r="H70" s="42" t="s">
        <v>902</v>
      </c>
      <c r="I70" s="35" t="s">
        <v>986</v>
      </c>
      <c r="J70" s="26">
        <v>2.5</v>
      </c>
      <c r="K70" s="26">
        <v>1.25</v>
      </c>
      <c r="L70" s="26">
        <v>66.400000000000006</v>
      </c>
      <c r="M70">
        <v>148.69999999999999</v>
      </c>
      <c r="N70" s="67">
        <f t="shared" si="1"/>
        <v>6668.1614349775773</v>
      </c>
    </row>
    <row r="71" spans="1:14" x14ac:dyDescent="0.25">
      <c r="A71" t="s">
        <v>232</v>
      </c>
      <c r="B71" s="34" t="s">
        <v>1162</v>
      </c>
      <c r="C71" s="35" t="s">
        <v>1163</v>
      </c>
      <c r="D71" s="35" t="s">
        <v>1164</v>
      </c>
      <c r="E71" s="35" t="s">
        <v>1144</v>
      </c>
      <c r="F71" s="36" t="s">
        <v>48</v>
      </c>
      <c r="G71" s="36" t="s">
        <v>894</v>
      </c>
      <c r="H71" s="42" t="s">
        <v>895</v>
      </c>
      <c r="I71" s="35" t="s">
        <v>950</v>
      </c>
      <c r="J71" s="26">
        <v>1.5</v>
      </c>
      <c r="K71" s="26">
        <v>2</v>
      </c>
      <c r="L71" s="26">
        <v>59.3</v>
      </c>
      <c r="M71">
        <v>138.4</v>
      </c>
      <c r="N71" s="67">
        <f t="shared" si="1"/>
        <v>6206.2780269058294</v>
      </c>
    </row>
    <row r="72" spans="1:14" x14ac:dyDescent="0.25">
      <c r="A72" t="s">
        <v>232</v>
      </c>
      <c r="B72" s="34" t="s">
        <v>1165</v>
      </c>
      <c r="C72" s="35" t="s">
        <v>1166</v>
      </c>
      <c r="D72" s="35" t="s">
        <v>1167</v>
      </c>
      <c r="E72" s="35" t="s">
        <v>1158</v>
      </c>
      <c r="F72" s="36" t="s">
        <v>270</v>
      </c>
      <c r="G72" s="36" t="s">
        <v>901</v>
      </c>
      <c r="H72" s="42" t="s">
        <v>917</v>
      </c>
      <c r="I72" s="35" t="s">
        <v>1168</v>
      </c>
      <c r="J72" s="26">
        <v>4</v>
      </c>
      <c r="K72" s="26">
        <v>1.75</v>
      </c>
      <c r="L72" s="26">
        <v>154.69999999999999</v>
      </c>
      <c r="M72">
        <v>358.7</v>
      </c>
      <c r="N72" s="67">
        <f t="shared" si="1"/>
        <v>16085.201793721972</v>
      </c>
    </row>
    <row r="73" spans="1:14" x14ac:dyDescent="0.25">
      <c r="A73" t="s">
        <v>257</v>
      </c>
      <c r="B73" s="34" t="s">
        <v>1169</v>
      </c>
      <c r="C73" s="35" t="s">
        <v>1170</v>
      </c>
      <c r="D73" s="35" t="s">
        <v>1171</v>
      </c>
      <c r="E73" s="35" t="s">
        <v>1172</v>
      </c>
      <c r="F73" s="36" t="s">
        <v>48</v>
      </c>
      <c r="G73" s="36" t="s">
        <v>894</v>
      </c>
      <c r="H73" s="42" t="s">
        <v>895</v>
      </c>
      <c r="I73" s="35" t="s">
        <v>896</v>
      </c>
      <c r="J73" s="26">
        <v>1.5</v>
      </c>
      <c r="K73" s="26">
        <v>1.75</v>
      </c>
      <c r="L73" s="26">
        <v>50.7</v>
      </c>
      <c r="M73">
        <v>117</v>
      </c>
      <c r="N73" s="67">
        <f t="shared" si="1"/>
        <v>5246.6367713004483</v>
      </c>
    </row>
    <row r="74" spans="1:14" x14ac:dyDescent="0.25">
      <c r="A74" t="s">
        <v>257</v>
      </c>
      <c r="B74" s="34" t="s">
        <v>1173</v>
      </c>
      <c r="C74" s="35" t="s">
        <v>1174</v>
      </c>
      <c r="D74" s="35" t="s">
        <v>1175</v>
      </c>
      <c r="E74" s="35" t="s">
        <v>1172</v>
      </c>
      <c r="F74" s="36" t="s">
        <v>48</v>
      </c>
      <c r="G74" s="36" t="s">
        <v>894</v>
      </c>
      <c r="H74" s="42" t="s">
        <v>895</v>
      </c>
      <c r="I74" s="35" t="s">
        <v>896</v>
      </c>
      <c r="J74" s="26">
        <v>1.5</v>
      </c>
      <c r="K74" s="26">
        <v>1.75</v>
      </c>
      <c r="L74" s="26">
        <v>50.7</v>
      </c>
      <c r="M74">
        <v>117</v>
      </c>
      <c r="N74" s="67">
        <f t="shared" si="1"/>
        <v>5246.6367713004483</v>
      </c>
    </row>
    <row r="75" spans="1:14" x14ac:dyDescent="0.25">
      <c r="A75" t="s">
        <v>257</v>
      </c>
      <c r="B75" s="34" t="s">
        <v>1176</v>
      </c>
      <c r="C75" s="35" t="s">
        <v>1177</v>
      </c>
      <c r="D75" s="35" t="s">
        <v>1178</v>
      </c>
      <c r="E75" s="35" t="s">
        <v>1172</v>
      </c>
      <c r="F75" s="36" t="s">
        <v>48</v>
      </c>
      <c r="G75" s="36" t="s">
        <v>894</v>
      </c>
      <c r="H75" s="42" t="s">
        <v>895</v>
      </c>
      <c r="I75" s="35" t="s">
        <v>1093</v>
      </c>
      <c r="J75" s="26">
        <v>1.5</v>
      </c>
      <c r="K75" s="26">
        <v>2</v>
      </c>
      <c r="L75" s="26">
        <v>58.5</v>
      </c>
      <c r="M75">
        <v>134.5</v>
      </c>
      <c r="N75" s="67">
        <f t="shared" si="1"/>
        <v>6031.3901345291479</v>
      </c>
    </row>
    <row r="76" spans="1:14" x14ac:dyDescent="0.25">
      <c r="A76" t="s">
        <v>257</v>
      </c>
      <c r="B76" s="34" t="s">
        <v>1179</v>
      </c>
      <c r="C76" s="35" t="s">
        <v>1180</v>
      </c>
      <c r="D76" s="35" t="s">
        <v>1178</v>
      </c>
      <c r="E76" s="35" t="s">
        <v>1172</v>
      </c>
      <c r="F76" s="36" t="s">
        <v>48</v>
      </c>
      <c r="G76" s="36" t="s">
        <v>894</v>
      </c>
      <c r="H76" s="42" t="s">
        <v>895</v>
      </c>
      <c r="I76" s="35" t="s">
        <v>896</v>
      </c>
      <c r="J76" s="26">
        <v>1.5</v>
      </c>
      <c r="K76" s="26">
        <v>1.75</v>
      </c>
      <c r="L76" s="26">
        <v>50.7</v>
      </c>
      <c r="M76">
        <v>117</v>
      </c>
      <c r="N76" s="67">
        <f t="shared" si="1"/>
        <v>5246.6367713004483</v>
      </c>
    </row>
    <row r="77" spans="1:14" x14ac:dyDescent="0.25">
      <c r="A77" t="s">
        <v>257</v>
      </c>
      <c r="B77" s="34" t="s">
        <v>1181</v>
      </c>
      <c r="C77" s="35" t="s">
        <v>1182</v>
      </c>
      <c r="D77" s="35" t="s">
        <v>1183</v>
      </c>
      <c r="E77" s="35" t="s">
        <v>1172</v>
      </c>
      <c r="F77" s="36" t="s">
        <v>48</v>
      </c>
      <c r="G77" s="36" t="s">
        <v>894</v>
      </c>
      <c r="H77" s="42" t="s">
        <v>895</v>
      </c>
      <c r="I77" s="35" t="s">
        <v>896</v>
      </c>
      <c r="J77" s="26">
        <v>1.5</v>
      </c>
      <c r="K77" s="26">
        <v>1.75</v>
      </c>
      <c r="L77" s="26">
        <v>50.7</v>
      </c>
      <c r="M77">
        <v>117</v>
      </c>
      <c r="N77" s="67">
        <f t="shared" si="1"/>
        <v>5246.6367713004483</v>
      </c>
    </row>
    <row r="78" spans="1:14" x14ac:dyDescent="0.25">
      <c r="A78" t="s">
        <v>257</v>
      </c>
      <c r="B78" s="34" t="s">
        <v>1184</v>
      </c>
      <c r="C78" s="35" t="s">
        <v>1185</v>
      </c>
      <c r="D78" s="35" t="s">
        <v>1186</v>
      </c>
      <c r="E78" s="35" t="s">
        <v>1187</v>
      </c>
      <c r="F78" s="36" t="s">
        <v>203</v>
      </c>
      <c r="G78" s="36" t="s">
        <v>922</v>
      </c>
      <c r="H78" s="42" t="s">
        <v>907</v>
      </c>
      <c r="I78" s="35" t="s">
        <v>1134</v>
      </c>
      <c r="J78" s="26">
        <v>3</v>
      </c>
      <c r="K78" s="26">
        <v>2</v>
      </c>
      <c r="L78" s="26">
        <v>124.7</v>
      </c>
      <c r="M78">
        <v>292</v>
      </c>
      <c r="N78" s="67">
        <f t="shared" si="1"/>
        <v>13094.170403587443</v>
      </c>
    </row>
    <row r="79" spans="1:14" x14ac:dyDescent="0.25">
      <c r="A79" t="s">
        <v>257</v>
      </c>
      <c r="B79" s="34" t="s">
        <v>1188</v>
      </c>
      <c r="C79" s="35" t="s">
        <v>1189</v>
      </c>
      <c r="D79" s="35" t="s">
        <v>1190</v>
      </c>
      <c r="E79" s="35" t="s">
        <v>1191</v>
      </c>
      <c r="F79" s="36" t="s">
        <v>270</v>
      </c>
      <c r="G79" s="36" t="s">
        <v>901</v>
      </c>
      <c r="H79" s="42" t="s">
        <v>917</v>
      </c>
      <c r="I79" s="35" t="s">
        <v>1192</v>
      </c>
      <c r="J79" s="26">
        <v>4</v>
      </c>
      <c r="K79" s="26">
        <v>2.75</v>
      </c>
      <c r="L79" s="26">
        <v>236.7</v>
      </c>
      <c r="M79">
        <v>541.29999999999995</v>
      </c>
      <c r="N79" s="67">
        <f t="shared" si="1"/>
        <v>24273.542600896857</v>
      </c>
    </row>
    <row r="80" spans="1:14" x14ac:dyDescent="0.25">
      <c r="A80" t="s">
        <v>257</v>
      </c>
      <c r="B80" s="34" t="s">
        <v>1193</v>
      </c>
      <c r="C80" s="35" t="s">
        <v>1194</v>
      </c>
      <c r="D80" s="35" t="s">
        <v>1195</v>
      </c>
      <c r="E80" s="35" t="s">
        <v>1191</v>
      </c>
      <c r="F80" s="36" t="s">
        <v>270</v>
      </c>
      <c r="G80" s="36" t="s">
        <v>901</v>
      </c>
      <c r="H80" s="42" t="s">
        <v>917</v>
      </c>
      <c r="I80" s="35" t="s">
        <v>1196</v>
      </c>
      <c r="J80" s="26">
        <v>4</v>
      </c>
      <c r="K80" s="26">
        <v>2.25</v>
      </c>
      <c r="L80" s="26">
        <v>195.2</v>
      </c>
      <c r="M80">
        <v>448</v>
      </c>
      <c r="N80" s="67">
        <f t="shared" si="1"/>
        <v>20089.686098654707</v>
      </c>
    </row>
    <row r="81" spans="1:14" x14ac:dyDescent="0.25">
      <c r="A81" t="s">
        <v>257</v>
      </c>
      <c r="B81" s="34" t="s">
        <v>1197</v>
      </c>
      <c r="C81" s="35" t="s">
        <v>1198</v>
      </c>
      <c r="D81" s="35" t="s">
        <v>1199</v>
      </c>
      <c r="E81" s="35" t="s">
        <v>1191</v>
      </c>
      <c r="F81" s="36" t="s">
        <v>270</v>
      </c>
      <c r="G81" s="36" t="s">
        <v>901</v>
      </c>
      <c r="H81" s="42" t="s">
        <v>917</v>
      </c>
      <c r="I81" s="35" t="s">
        <v>1196</v>
      </c>
      <c r="J81" s="26">
        <v>4</v>
      </c>
      <c r="K81" s="26">
        <v>2.25</v>
      </c>
      <c r="L81" s="26">
        <v>195.2</v>
      </c>
      <c r="M81">
        <v>448</v>
      </c>
      <c r="N81" s="67">
        <f t="shared" si="1"/>
        <v>20089.686098654707</v>
      </c>
    </row>
    <row r="82" spans="1:14" x14ac:dyDescent="0.25">
      <c r="A82" t="s">
        <v>257</v>
      </c>
      <c r="B82" s="34" t="s">
        <v>1200</v>
      </c>
      <c r="C82" s="35" t="s">
        <v>1201</v>
      </c>
      <c r="D82" s="35" t="s">
        <v>1195</v>
      </c>
      <c r="E82" s="35" t="s">
        <v>1191</v>
      </c>
      <c r="F82" s="36" t="s">
        <v>270</v>
      </c>
      <c r="G82" s="36" t="s">
        <v>901</v>
      </c>
      <c r="H82" s="42" t="s">
        <v>917</v>
      </c>
      <c r="I82" s="35" t="s">
        <v>1196</v>
      </c>
      <c r="J82" s="26">
        <v>4</v>
      </c>
      <c r="K82" s="26">
        <v>2.25</v>
      </c>
      <c r="L82" s="26">
        <v>195.2</v>
      </c>
      <c r="M82">
        <v>448</v>
      </c>
      <c r="N82" s="67">
        <f t="shared" si="1"/>
        <v>20089.686098654707</v>
      </c>
    </row>
    <row r="83" spans="1:14" x14ac:dyDescent="0.25">
      <c r="A83" t="s">
        <v>257</v>
      </c>
      <c r="B83" s="34" t="s">
        <v>1202</v>
      </c>
      <c r="C83" s="35" t="s">
        <v>1203</v>
      </c>
      <c r="D83" s="35" t="s">
        <v>1204</v>
      </c>
      <c r="E83" s="35" t="s">
        <v>1187</v>
      </c>
      <c r="F83" s="36" t="s">
        <v>203</v>
      </c>
      <c r="G83" s="36" t="s">
        <v>922</v>
      </c>
      <c r="H83" s="42" t="s">
        <v>907</v>
      </c>
      <c r="I83" s="35" t="s">
        <v>923</v>
      </c>
      <c r="J83" s="26">
        <v>3</v>
      </c>
      <c r="K83" s="26">
        <v>2.75</v>
      </c>
      <c r="L83" s="26">
        <v>168</v>
      </c>
      <c r="M83">
        <v>387.8</v>
      </c>
      <c r="N83" s="67">
        <f t="shared" si="1"/>
        <v>17390.134529147981</v>
      </c>
    </row>
    <row r="84" spans="1:14" x14ac:dyDescent="0.25">
      <c r="A84" t="s">
        <v>283</v>
      </c>
      <c r="B84" s="34" t="s">
        <v>1205</v>
      </c>
      <c r="C84" s="35" t="s">
        <v>1206</v>
      </c>
      <c r="D84" s="35" t="s">
        <v>1207</v>
      </c>
      <c r="E84" s="35" t="s">
        <v>1208</v>
      </c>
      <c r="F84" s="36" t="s">
        <v>48</v>
      </c>
      <c r="G84" s="36" t="s">
        <v>894</v>
      </c>
      <c r="H84" s="42" t="s">
        <v>895</v>
      </c>
      <c r="I84" s="35" t="s">
        <v>1093</v>
      </c>
      <c r="J84" s="26">
        <v>1.5</v>
      </c>
      <c r="K84" s="26">
        <v>2</v>
      </c>
      <c r="L84" s="26">
        <v>58.5</v>
      </c>
      <c r="M84">
        <v>134.5</v>
      </c>
      <c r="N84" s="67">
        <f t="shared" si="1"/>
        <v>6031.3901345291479</v>
      </c>
    </row>
    <row r="85" spans="1:14" x14ac:dyDescent="0.25">
      <c r="A85" t="s">
        <v>283</v>
      </c>
      <c r="B85" s="34" t="s">
        <v>1209</v>
      </c>
      <c r="C85" s="35" t="s">
        <v>1210</v>
      </c>
      <c r="D85" s="35" t="s">
        <v>1211</v>
      </c>
      <c r="E85" s="35" t="s">
        <v>1208</v>
      </c>
      <c r="F85" s="36" t="s">
        <v>48</v>
      </c>
      <c r="G85" s="36" t="s">
        <v>894</v>
      </c>
      <c r="H85" s="42" t="s">
        <v>895</v>
      </c>
      <c r="I85" s="35" t="s">
        <v>896</v>
      </c>
      <c r="J85" s="26">
        <v>1.5</v>
      </c>
      <c r="K85" s="26">
        <v>1.75</v>
      </c>
      <c r="L85" s="26">
        <v>50.7</v>
      </c>
      <c r="M85">
        <v>117</v>
      </c>
      <c r="N85" s="67">
        <f t="shared" si="1"/>
        <v>5246.6367713004483</v>
      </c>
    </row>
    <row r="86" spans="1:14" x14ac:dyDescent="0.25">
      <c r="A86" t="s">
        <v>283</v>
      </c>
      <c r="B86" s="34" t="s">
        <v>1212</v>
      </c>
      <c r="C86" s="35" t="s">
        <v>1213</v>
      </c>
      <c r="D86" s="35" t="s">
        <v>1214</v>
      </c>
      <c r="E86" s="35" t="s">
        <v>1208</v>
      </c>
      <c r="F86" s="36" t="s">
        <v>48</v>
      </c>
      <c r="G86" s="36" t="s">
        <v>894</v>
      </c>
      <c r="H86" s="42" t="s">
        <v>895</v>
      </c>
      <c r="I86" s="35" t="s">
        <v>896</v>
      </c>
      <c r="J86" s="26">
        <v>1.5</v>
      </c>
      <c r="K86" s="26">
        <v>1.75</v>
      </c>
      <c r="L86" s="26">
        <v>50.7</v>
      </c>
      <c r="M86">
        <v>117</v>
      </c>
      <c r="N86" s="67">
        <f t="shared" si="1"/>
        <v>5246.6367713004483</v>
      </c>
    </row>
    <row r="87" spans="1:14" x14ac:dyDescent="0.25">
      <c r="A87" t="s">
        <v>283</v>
      </c>
      <c r="B87" s="34" t="s">
        <v>1215</v>
      </c>
      <c r="C87" s="35" t="s">
        <v>1216</v>
      </c>
      <c r="D87" s="35" t="s">
        <v>1217</v>
      </c>
      <c r="E87" s="35" t="s">
        <v>1218</v>
      </c>
      <c r="F87" s="36" t="s">
        <v>270</v>
      </c>
      <c r="G87" s="36" t="s">
        <v>901</v>
      </c>
      <c r="H87" s="42" t="s">
        <v>917</v>
      </c>
      <c r="I87" s="35" t="s">
        <v>965</v>
      </c>
      <c r="J87" s="26">
        <v>4</v>
      </c>
      <c r="K87" s="26">
        <v>3</v>
      </c>
      <c r="L87" s="26">
        <v>277.10000000000002</v>
      </c>
      <c r="M87">
        <v>655.20000000000005</v>
      </c>
      <c r="N87" s="67">
        <f t="shared" si="1"/>
        <v>29381.165919282514</v>
      </c>
    </row>
    <row r="88" spans="1:14" x14ac:dyDescent="0.25">
      <c r="A88" t="s">
        <v>283</v>
      </c>
      <c r="B88" s="34" t="s">
        <v>1219</v>
      </c>
      <c r="C88" s="35" t="s">
        <v>1220</v>
      </c>
      <c r="D88" s="35" t="s">
        <v>1221</v>
      </c>
      <c r="E88" s="35" t="s">
        <v>1218</v>
      </c>
      <c r="F88" s="36" t="s">
        <v>270</v>
      </c>
      <c r="G88" s="36" t="s">
        <v>901</v>
      </c>
      <c r="H88" s="42" t="s">
        <v>902</v>
      </c>
      <c r="I88" s="35" t="s">
        <v>1222</v>
      </c>
      <c r="J88" s="26">
        <v>2.5</v>
      </c>
      <c r="K88" s="26">
        <v>1.5</v>
      </c>
      <c r="L88" s="26">
        <v>79.400000000000006</v>
      </c>
      <c r="M88">
        <v>177.8</v>
      </c>
      <c r="N88" s="67">
        <f t="shared" si="1"/>
        <v>7973.0941704035877</v>
      </c>
    </row>
    <row r="89" spans="1:14" x14ac:dyDescent="0.25">
      <c r="A89" t="s">
        <v>283</v>
      </c>
      <c r="B89" s="34" t="s">
        <v>1223</v>
      </c>
      <c r="C89" s="35" t="s">
        <v>1224</v>
      </c>
      <c r="D89" s="35" t="s">
        <v>1225</v>
      </c>
      <c r="E89" s="35" t="s">
        <v>294</v>
      </c>
      <c r="F89" s="36" t="s">
        <v>203</v>
      </c>
      <c r="G89" s="36" t="s">
        <v>922</v>
      </c>
      <c r="H89" s="42" t="s">
        <v>895</v>
      </c>
      <c r="I89" s="35" t="s">
        <v>942</v>
      </c>
      <c r="J89" s="26">
        <v>1.5</v>
      </c>
      <c r="K89" s="26">
        <v>1.75</v>
      </c>
      <c r="L89" s="26">
        <v>53.7</v>
      </c>
      <c r="M89">
        <v>126.7</v>
      </c>
      <c r="N89" s="67">
        <f t="shared" si="1"/>
        <v>5681.6143497757848</v>
      </c>
    </row>
    <row r="90" spans="1:14" x14ac:dyDescent="0.25">
      <c r="A90" t="s">
        <v>300</v>
      </c>
      <c r="B90" s="34" t="s">
        <v>1226</v>
      </c>
      <c r="C90" s="35" t="s">
        <v>1227</v>
      </c>
      <c r="D90" s="35" t="s">
        <v>1228</v>
      </c>
      <c r="E90" s="35" t="s">
        <v>1229</v>
      </c>
      <c r="F90" s="36" t="s">
        <v>48</v>
      </c>
      <c r="G90" s="36" t="s">
        <v>894</v>
      </c>
      <c r="H90" s="42" t="s">
        <v>895</v>
      </c>
      <c r="I90" s="35" t="s">
        <v>1042</v>
      </c>
      <c r="J90" s="26">
        <v>1.5</v>
      </c>
      <c r="K90" s="26">
        <v>1</v>
      </c>
      <c r="L90" s="26">
        <v>26</v>
      </c>
      <c r="M90">
        <v>58.2</v>
      </c>
      <c r="N90" s="67">
        <f t="shared" si="1"/>
        <v>2609.865470852018</v>
      </c>
    </row>
    <row r="91" spans="1:14" x14ac:dyDescent="0.25">
      <c r="A91" t="s">
        <v>300</v>
      </c>
      <c r="B91" s="34" t="s">
        <v>1230</v>
      </c>
      <c r="C91" s="35" t="s">
        <v>1231</v>
      </c>
      <c r="D91" s="35" t="s">
        <v>1232</v>
      </c>
      <c r="E91" s="35" t="s">
        <v>1229</v>
      </c>
      <c r="F91" s="36" t="s">
        <v>48</v>
      </c>
      <c r="G91" s="36" t="s">
        <v>894</v>
      </c>
      <c r="H91" s="42" t="s">
        <v>895</v>
      </c>
      <c r="I91" s="35" t="s">
        <v>1042</v>
      </c>
      <c r="J91" s="26">
        <v>1.5</v>
      </c>
      <c r="K91" s="26">
        <v>1</v>
      </c>
      <c r="L91" s="26">
        <v>26</v>
      </c>
      <c r="M91">
        <v>58.2</v>
      </c>
      <c r="N91" s="67">
        <f t="shared" si="1"/>
        <v>2609.865470852018</v>
      </c>
    </row>
    <row r="92" spans="1:14" x14ac:dyDescent="0.25">
      <c r="A92" t="s">
        <v>300</v>
      </c>
      <c r="B92" s="34" t="s">
        <v>1233</v>
      </c>
      <c r="C92" s="35" t="s">
        <v>1234</v>
      </c>
      <c r="D92" s="35" t="s">
        <v>1235</v>
      </c>
      <c r="E92" s="35" t="s">
        <v>1236</v>
      </c>
      <c r="F92" s="36" t="s">
        <v>270</v>
      </c>
      <c r="G92" s="36" t="s">
        <v>901</v>
      </c>
      <c r="H92" s="42" t="s">
        <v>912</v>
      </c>
      <c r="I92" s="35" t="s">
        <v>1237</v>
      </c>
      <c r="J92" s="26">
        <v>6.5</v>
      </c>
      <c r="K92" s="26">
        <v>3.25</v>
      </c>
      <c r="L92" s="26">
        <v>480.4</v>
      </c>
      <c r="M92">
        <v>1127.7</v>
      </c>
      <c r="N92" s="67">
        <f t="shared" si="1"/>
        <v>50569.506726457395</v>
      </c>
    </row>
    <row r="93" spans="1:14" x14ac:dyDescent="0.25">
      <c r="A93" t="s">
        <v>300</v>
      </c>
      <c r="B93" s="34" t="s">
        <v>1238</v>
      </c>
      <c r="C93" s="35" t="s">
        <v>1239</v>
      </c>
      <c r="D93" s="35" t="s">
        <v>1240</v>
      </c>
      <c r="E93" s="35" t="s">
        <v>1236</v>
      </c>
      <c r="F93" s="36" t="s">
        <v>270</v>
      </c>
      <c r="G93" s="36" t="s">
        <v>901</v>
      </c>
      <c r="H93" s="42" t="s">
        <v>902</v>
      </c>
      <c r="I93" s="35" t="s">
        <v>986</v>
      </c>
      <c r="J93" s="26">
        <v>2.5</v>
      </c>
      <c r="K93" s="26">
        <v>1.25</v>
      </c>
      <c r="L93" s="26">
        <v>66.400000000000006</v>
      </c>
      <c r="M93">
        <v>148.69999999999999</v>
      </c>
      <c r="N93" s="67">
        <f t="shared" si="1"/>
        <v>6668.1614349775773</v>
      </c>
    </row>
    <row r="94" spans="1:14" x14ac:dyDescent="0.25">
      <c r="A94" t="s">
        <v>300</v>
      </c>
      <c r="B94" s="34" t="s">
        <v>1241</v>
      </c>
      <c r="C94" s="35" t="s">
        <v>1242</v>
      </c>
      <c r="D94" s="35" t="s">
        <v>1232</v>
      </c>
      <c r="E94" s="35" t="s">
        <v>1229</v>
      </c>
      <c r="F94" s="36" t="s">
        <v>48</v>
      </c>
      <c r="G94" s="36" t="s">
        <v>894</v>
      </c>
      <c r="H94" s="42" t="s">
        <v>895</v>
      </c>
      <c r="I94" s="35" t="s">
        <v>1042</v>
      </c>
      <c r="J94" s="26">
        <v>1.5</v>
      </c>
      <c r="K94" s="26">
        <v>1</v>
      </c>
      <c r="L94" s="26">
        <v>26</v>
      </c>
      <c r="M94">
        <v>58.2</v>
      </c>
      <c r="N94" s="67">
        <f t="shared" si="1"/>
        <v>2609.865470852018</v>
      </c>
    </row>
    <row r="95" spans="1:14" x14ac:dyDescent="0.25">
      <c r="A95" t="s">
        <v>300</v>
      </c>
      <c r="B95" s="34" t="s">
        <v>1243</v>
      </c>
      <c r="C95" s="35" t="s">
        <v>1244</v>
      </c>
      <c r="D95" s="35" t="s">
        <v>1245</v>
      </c>
      <c r="E95" s="35" t="s">
        <v>311</v>
      </c>
      <c r="F95" s="36" t="s">
        <v>203</v>
      </c>
      <c r="G95" s="36" t="s">
        <v>922</v>
      </c>
      <c r="H95" s="42" t="s">
        <v>895</v>
      </c>
      <c r="I95" s="35" t="s">
        <v>942</v>
      </c>
      <c r="J95" s="26">
        <v>1.5</v>
      </c>
      <c r="K95" s="26">
        <v>1.75</v>
      </c>
      <c r="L95" s="26">
        <v>53.7</v>
      </c>
      <c r="M95">
        <v>126.7</v>
      </c>
      <c r="N95" s="67">
        <f t="shared" si="1"/>
        <v>5681.6143497757848</v>
      </c>
    </row>
    <row r="96" spans="1:14" x14ac:dyDescent="0.25">
      <c r="A96" t="s">
        <v>319</v>
      </c>
      <c r="B96" s="34" t="s">
        <v>1246</v>
      </c>
      <c r="C96" s="35" t="s">
        <v>1247</v>
      </c>
      <c r="D96" s="35" t="s">
        <v>1248</v>
      </c>
      <c r="E96" s="35" t="s">
        <v>1249</v>
      </c>
      <c r="F96" s="36" t="s">
        <v>48</v>
      </c>
      <c r="G96" s="36" t="s">
        <v>894</v>
      </c>
      <c r="H96" s="42" t="s">
        <v>895</v>
      </c>
      <c r="I96" s="35" t="s">
        <v>973</v>
      </c>
      <c r="J96" s="26">
        <v>1.5</v>
      </c>
      <c r="K96" s="26">
        <v>1.5</v>
      </c>
      <c r="L96" s="26">
        <v>42.4</v>
      </c>
      <c r="M96">
        <v>97.1</v>
      </c>
      <c r="N96" s="67">
        <f t="shared" si="1"/>
        <v>4354.2600896860986</v>
      </c>
    </row>
    <row r="97" spans="1:14" x14ac:dyDescent="0.25">
      <c r="A97" t="s">
        <v>319</v>
      </c>
      <c r="B97" s="34" t="s">
        <v>1250</v>
      </c>
      <c r="C97" s="35" t="s">
        <v>1251</v>
      </c>
      <c r="D97" s="35" t="s">
        <v>1252</v>
      </c>
      <c r="E97" s="35" t="s">
        <v>1253</v>
      </c>
      <c r="F97" s="36" t="s">
        <v>270</v>
      </c>
      <c r="G97" s="36" t="s">
        <v>901</v>
      </c>
      <c r="H97" s="42" t="s">
        <v>902</v>
      </c>
      <c r="I97" s="35" t="s">
        <v>1254</v>
      </c>
      <c r="J97" s="26">
        <v>2.5</v>
      </c>
      <c r="K97" s="26">
        <v>1.75</v>
      </c>
      <c r="L97" s="26">
        <v>98.2</v>
      </c>
      <c r="M97">
        <v>224.6</v>
      </c>
      <c r="N97" s="67">
        <f t="shared" si="1"/>
        <v>10071.748878923767</v>
      </c>
    </row>
    <row r="98" spans="1:14" x14ac:dyDescent="0.25">
      <c r="A98" t="s">
        <v>319</v>
      </c>
      <c r="B98" s="34" t="s">
        <v>1255</v>
      </c>
      <c r="C98" s="35" t="s">
        <v>1256</v>
      </c>
      <c r="D98" s="35" t="s">
        <v>1257</v>
      </c>
      <c r="E98" s="35" t="s">
        <v>1249</v>
      </c>
      <c r="F98" s="36" t="s">
        <v>48</v>
      </c>
      <c r="G98" s="36" t="s">
        <v>894</v>
      </c>
      <c r="H98" s="42" t="s">
        <v>895</v>
      </c>
      <c r="I98" s="35" t="s">
        <v>982</v>
      </c>
      <c r="J98" s="26">
        <v>1.5</v>
      </c>
      <c r="K98" s="26">
        <v>1.25</v>
      </c>
      <c r="L98" s="26">
        <v>34.6</v>
      </c>
      <c r="M98">
        <v>79.599999999999994</v>
      </c>
      <c r="N98" s="67">
        <f t="shared" si="1"/>
        <v>3569.5067264573986</v>
      </c>
    </row>
    <row r="99" spans="1:14" x14ac:dyDescent="0.25">
      <c r="A99" t="s">
        <v>319</v>
      </c>
      <c r="B99" s="34" t="s">
        <v>1258</v>
      </c>
      <c r="C99" s="35" t="s">
        <v>1259</v>
      </c>
      <c r="D99" s="35" t="s">
        <v>1257</v>
      </c>
      <c r="E99" s="35" t="s">
        <v>1249</v>
      </c>
      <c r="F99" s="36" t="s">
        <v>48</v>
      </c>
      <c r="G99" s="36" t="s">
        <v>894</v>
      </c>
      <c r="H99" s="42" t="s">
        <v>895</v>
      </c>
      <c r="I99" s="35" t="s">
        <v>973</v>
      </c>
      <c r="J99" s="26">
        <v>1.5</v>
      </c>
      <c r="K99" s="26">
        <v>1.5</v>
      </c>
      <c r="L99" s="26">
        <v>42.4</v>
      </c>
      <c r="M99">
        <v>97.1</v>
      </c>
      <c r="N99" s="67">
        <f t="shared" si="1"/>
        <v>4354.2600896860986</v>
      </c>
    </row>
    <row r="100" spans="1:14" x14ac:dyDescent="0.25">
      <c r="A100" t="s">
        <v>319</v>
      </c>
      <c r="B100" s="34" t="s">
        <v>1260</v>
      </c>
      <c r="C100" s="35" t="s">
        <v>1261</v>
      </c>
      <c r="D100" s="35" t="s">
        <v>1262</v>
      </c>
      <c r="E100" s="35" t="s">
        <v>1253</v>
      </c>
      <c r="F100" s="36" t="s">
        <v>270</v>
      </c>
      <c r="G100" s="36" t="s">
        <v>901</v>
      </c>
      <c r="H100" s="42" t="s">
        <v>917</v>
      </c>
      <c r="I100" s="35" t="s">
        <v>1263</v>
      </c>
      <c r="J100" s="26">
        <v>4</v>
      </c>
      <c r="K100" s="26">
        <v>2.5</v>
      </c>
      <c r="L100" s="26">
        <v>235.6</v>
      </c>
      <c r="M100">
        <v>556.1</v>
      </c>
      <c r="N100" s="67">
        <f t="shared" si="1"/>
        <v>24937.219730941702</v>
      </c>
    </row>
    <row r="101" spans="1:14" x14ac:dyDescent="0.25">
      <c r="A101" t="s">
        <v>319</v>
      </c>
      <c r="B101" s="34" t="s">
        <v>1264</v>
      </c>
      <c r="C101" s="35" t="s">
        <v>1265</v>
      </c>
      <c r="D101" s="35" t="s">
        <v>1266</v>
      </c>
      <c r="E101" s="35" t="s">
        <v>330</v>
      </c>
      <c r="F101" s="36" t="s">
        <v>203</v>
      </c>
      <c r="G101" s="36" t="s">
        <v>922</v>
      </c>
      <c r="H101" s="42" t="s">
        <v>895</v>
      </c>
      <c r="I101" s="35" t="s">
        <v>942</v>
      </c>
      <c r="J101" s="26">
        <v>1.5</v>
      </c>
      <c r="K101" s="26">
        <v>1.75</v>
      </c>
      <c r="L101" s="26">
        <v>53.7</v>
      </c>
      <c r="M101">
        <v>126.7</v>
      </c>
      <c r="N101" s="67">
        <f t="shared" si="1"/>
        <v>5681.6143497757848</v>
      </c>
    </row>
    <row r="102" spans="1:14" x14ac:dyDescent="0.25">
      <c r="A102" t="s">
        <v>337</v>
      </c>
      <c r="B102" s="34" t="s">
        <v>1267</v>
      </c>
      <c r="C102" s="35" t="s">
        <v>1268</v>
      </c>
      <c r="D102" s="35" t="s">
        <v>1269</v>
      </c>
      <c r="E102" s="35" t="s">
        <v>1270</v>
      </c>
      <c r="F102" s="36" t="s">
        <v>48</v>
      </c>
      <c r="G102" s="36" t="s">
        <v>894</v>
      </c>
      <c r="H102" s="42" t="s">
        <v>895</v>
      </c>
      <c r="I102" s="35" t="s">
        <v>1271</v>
      </c>
      <c r="J102" s="26">
        <v>1.5</v>
      </c>
      <c r="K102" s="26">
        <v>1.5</v>
      </c>
      <c r="L102" s="26">
        <v>43.3</v>
      </c>
      <c r="M102">
        <v>101</v>
      </c>
      <c r="N102" s="67">
        <f t="shared" si="1"/>
        <v>4529.1479820627801</v>
      </c>
    </row>
    <row r="103" spans="1:14" x14ac:dyDescent="0.25">
      <c r="A103" t="s">
        <v>337</v>
      </c>
      <c r="B103" s="34" t="s">
        <v>1272</v>
      </c>
      <c r="C103" s="35" t="s">
        <v>1273</v>
      </c>
      <c r="D103" s="35" t="s">
        <v>1274</v>
      </c>
      <c r="E103" s="35" t="s">
        <v>347</v>
      </c>
      <c r="F103" s="36" t="s">
        <v>203</v>
      </c>
      <c r="G103" s="36" t="s">
        <v>922</v>
      </c>
      <c r="H103" s="42" t="s">
        <v>1275</v>
      </c>
      <c r="I103" s="35" t="s">
        <v>1276</v>
      </c>
      <c r="J103" s="26">
        <v>5</v>
      </c>
      <c r="K103" s="26">
        <v>4.25</v>
      </c>
      <c r="L103" s="26">
        <v>482.1</v>
      </c>
      <c r="M103">
        <v>1154.4000000000001</v>
      </c>
      <c r="N103" s="67">
        <f t="shared" si="1"/>
        <v>51766.816143497759</v>
      </c>
    </row>
    <row r="104" spans="1:14" x14ac:dyDescent="0.25">
      <c r="A104" t="s">
        <v>337</v>
      </c>
      <c r="B104" s="34" t="s">
        <v>1277</v>
      </c>
      <c r="C104" s="35" t="s">
        <v>1278</v>
      </c>
      <c r="D104" s="35" t="s">
        <v>1279</v>
      </c>
      <c r="E104" s="35" t="s">
        <v>347</v>
      </c>
      <c r="F104" s="36" t="s">
        <v>203</v>
      </c>
      <c r="G104" s="36" t="s">
        <v>922</v>
      </c>
      <c r="H104" s="42" t="s">
        <v>895</v>
      </c>
      <c r="I104" s="35" t="s">
        <v>1154</v>
      </c>
      <c r="J104" s="26">
        <v>1.5</v>
      </c>
      <c r="K104" s="26">
        <v>1</v>
      </c>
      <c r="L104" s="26">
        <v>32</v>
      </c>
      <c r="M104">
        <v>78.8</v>
      </c>
      <c r="N104" s="67">
        <f t="shared" si="1"/>
        <v>3533.6322869955152</v>
      </c>
    </row>
    <row r="105" spans="1:14" x14ac:dyDescent="0.25">
      <c r="A105" t="s">
        <v>337</v>
      </c>
      <c r="B105" s="34" t="s">
        <v>1280</v>
      </c>
      <c r="C105" s="35" t="s">
        <v>1281</v>
      </c>
      <c r="D105" s="35" t="s">
        <v>1282</v>
      </c>
      <c r="E105" s="35" t="s">
        <v>1270</v>
      </c>
      <c r="F105" s="36" t="s">
        <v>48</v>
      </c>
      <c r="G105" s="36" t="s">
        <v>894</v>
      </c>
      <c r="H105" s="42" t="s">
        <v>895</v>
      </c>
      <c r="I105" s="35" t="s">
        <v>1271</v>
      </c>
      <c r="J105" s="26">
        <v>1.5</v>
      </c>
      <c r="K105" s="26">
        <v>1.5</v>
      </c>
      <c r="L105" s="26">
        <v>43.3</v>
      </c>
      <c r="M105">
        <v>101</v>
      </c>
      <c r="N105" s="67">
        <f t="shared" si="1"/>
        <v>4529.1479820627801</v>
      </c>
    </row>
    <row r="106" spans="1:14" x14ac:dyDescent="0.25">
      <c r="A106" t="s">
        <v>356</v>
      </c>
      <c r="B106" s="34" t="s">
        <v>1283</v>
      </c>
      <c r="C106" s="35" t="s">
        <v>1284</v>
      </c>
      <c r="D106" s="35" t="s">
        <v>1285</v>
      </c>
      <c r="E106" s="35" t="s">
        <v>1286</v>
      </c>
      <c r="F106" s="36" t="s">
        <v>270</v>
      </c>
      <c r="G106" s="36" t="s">
        <v>901</v>
      </c>
      <c r="H106" s="42" t="s">
        <v>902</v>
      </c>
      <c r="I106" s="35" t="s">
        <v>1098</v>
      </c>
      <c r="J106" s="26">
        <v>2.5</v>
      </c>
      <c r="K106" s="26">
        <v>1.75</v>
      </c>
      <c r="L106" s="26">
        <v>99.6</v>
      </c>
      <c r="M106">
        <v>228.1</v>
      </c>
      <c r="N106" s="67">
        <f t="shared" si="1"/>
        <v>10228.699551569505</v>
      </c>
    </row>
    <row r="107" spans="1:14" x14ac:dyDescent="0.25">
      <c r="A107" t="s">
        <v>356</v>
      </c>
      <c r="B107" s="34" t="s">
        <v>1287</v>
      </c>
      <c r="C107" s="35" t="s">
        <v>1288</v>
      </c>
      <c r="D107" s="35" t="s">
        <v>1289</v>
      </c>
      <c r="E107" s="35" t="s">
        <v>1286</v>
      </c>
      <c r="F107" s="36" t="s">
        <v>270</v>
      </c>
      <c r="G107" s="36" t="s">
        <v>901</v>
      </c>
      <c r="H107" s="42" t="s">
        <v>902</v>
      </c>
      <c r="I107" s="35" t="s">
        <v>1098</v>
      </c>
      <c r="J107" s="26">
        <v>2.5</v>
      </c>
      <c r="K107" s="26">
        <v>1.75</v>
      </c>
      <c r="L107" s="26">
        <v>99.6</v>
      </c>
      <c r="M107">
        <v>228.1</v>
      </c>
      <c r="N107" s="67">
        <f t="shared" si="1"/>
        <v>10228.699551569505</v>
      </c>
    </row>
    <row r="108" spans="1:14" x14ac:dyDescent="0.25">
      <c r="A108" t="s">
        <v>356</v>
      </c>
      <c r="B108" s="34" t="s">
        <v>1290</v>
      </c>
      <c r="C108" s="35" t="s">
        <v>1291</v>
      </c>
      <c r="D108" s="35" t="s">
        <v>1164</v>
      </c>
      <c r="E108" s="35" t="s">
        <v>1292</v>
      </c>
      <c r="F108" s="36" t="s">
        <v>48</v>
      </c>
      <c r="G108" s="36" t="s">
        <v>894</v>
      </c>
      <c r="H108" s="42" t="s">
        <v>895</v>
      </c>
      <c r="I108" s="35" t="s">
        <v>896</v>
      </c>
      <c r="J108" s="26">
        <v>1.5</v>
      </c>
      <c r="K108" s="26">
        <v>1.75</v>
      </c>
      <c r="L108" s="26">
        <v>50.7</v>
      </c>
      <c r="M108">
        <v>117</v>
      </c>
      <c r="N108" s="67">
        <f t="shared" si="1"/>
        <v>5246.6367713004483</v>
      </c>
    </row>
    <row r="109" spans="1:14" x14ac:dyDescent="0.25">
      <c r="A109" t="s">
        <v>356</v>
      </c>
      <c r="B109" s="34" t="s">
        <v>1293</v>
      </c>
      <c r="C109" s="35" t="s">
        <v>1294</v>
      </c>
      <c r="D109" s="35" t="s">
        <v>1164</v>
      </c>
      <c r="E109" s="35" t="s">
        <v>1286</v>
      </c>
      <c r="F109" s="36" t="s">
        <v>270</v>
      </c>
      <c r="G109" s="36" t="s">
        <v>901</v>
      </c>
      <c r="H109" s="42" t="s">
        <v>902</v>
      </c>
      <c r="I109" s="35" t="s">
        <v>1295</v>
      </c>
      <c r="J109" s="26">
        <v>2.5</v>
      </c>
      <c r="K109" s="26">
        <v>2.25</v>
      </c>
      <c r="L109" s="26">
        <v>132.80000000000001</v>
      </c>
      <c r="M109">
        <v>307.39999999999998</v>
      </c>
      <c r="N109" s="67">
        <f t="shared" si="1"/>
        <v>13784.753363228698</v>
      </c>
    </row>
    <row r="110" spans="1:14" x14ac:dyDescent="0.25">
      <c r="A110" t="s">
        <v>356</v>
      </c>
      <c r="B110" s="34" t="s">
        <v>1296</v>
      </c>
      <c r="C110" s="35" t="s">
        <v>1297</v>
      </c>
      <c r="D110" s="35" t="s">
        <v>1298</v>
      </c>
      <c r="E110" s="35" t="s">
        <v>366</v>
      </c>
      <c r="F110" s="36" t="s">
        <v>203</v>
      </c>
      <c r="G110" s="36" t="s">
        <v>922</v>
      </c>
      <c r="H110" s="42" t="s">
        <v>895</v>
      </c>
      <c r="I110" s="35" t="s">
        <v>942</v>
      </c>
      <c r="J110" s="26">
        <v>1.5</v>
      </c>
      <c r="K110" s="26">
        <v>1.75</v>
      </c>
      <c r="L110" s="26">
        <v>53.7</v>
      </c>
      <c r="M110">
        <v>126.7</v>
      </c>
      <c r="N110" s="67">
        <f t="shared" si="1"/>
        <v>5681.6143497757848</v>
      </c>
    </row>
    <row r="111" spans="1:14" x14ac:dyDescent="0.25">
      <c r="A111" t="s">
        <v>376</v>
      </c>
      <c r="B111" s="34" t="s">
        <v>1299</v>
      </c>
      <c r="C111" s="35" t="s">
        <v>1300</v>
      </c>
      <c r="D111" s="35" t="s">
        <v>1301</v>
      </c>
      <c r="E111" s="35" t="s">
        <v>1302</v>
      </c>
      <c r="F111" s="36" t="s">
        <v>270</v>
      </c>
      <c r="G111" s="36" t="s">
        <v>901</v>
      </c>
      <c r="H111" s="42" t="s">
        <v>902</v>
      </c>
      <c r="I111" s="35" t="s">
        <v>1098</v>
      </c>
      <c r="J111" s="26">
        <v>2.5</v>
      </c>
      <c r="K111" s="26">
        <v>1.75</v>
      </c>
      <c r="L111" s="26">
        <v>99.6</v>
      </c>
      <c r="M111">
        <v>228.1</v>
      </c>
      <c r="N111" s="67">
        <f t="shared" si="1"/>
        <v>10228.699551569505</v>
      </c>
    </row>
    <row r="112" spans="1:14" x14ac:dyDescent="0.25">
      <c r="A112" t="s">
        <v>376</v>
      </c>
      <c r="B112" s="34" t="s">
        <v>1303</v>
      </c>
      <c r="C112" s="35" t="s">
        <v>1304</v>
      </c>
      <c r="D112" s="35" t="s">
        <v>1305</v>
      </c>
      <c r="E112" s="35" t="s">
        <v>1302</v>
      </c>
      <c r="F112" s="36" t="s">
        <v>270</v>
      </c>
      <c r="G112" s="36" t="s">
        <v>901</v>
      </c>
      <c r="H112" s="42" t="s">
        <v>902</v>
      </c>
      <c r="I112" s="35" t="s">
        <v>1098</v>
      </c>
      <c r="J112" s="26">
        <v>2.5</v>
      </c>
      <c r="K112" s="26">
        <v>1.75</v>
      </c>
      <c r="L112" s="26">
        <v>99.6</v>
      </c>
      <c r="M112">
        <v>228.1</v>
      </c>
      <c r="N112" s="67">
        <f t="shared" si="1"/>
        <v>10228.699551569505</v>
      </c>
    </row>
    <row r="113" spans="1:14" x14ac:dyDescent="0.25">
      <c r="A113" t="s">
        <v>376</v>
      </c>
      <c r="B113" s="34" t="s">
        <v>1306</v>
      </c>
      <c r="C113" s="35" t="s">
        <v>1307</v>
      </c>
      <c r="D113" s="35" t="s">
        <v>1308</v>
      </c>
      <c r="E113" s="35" t="s">
        <v>1302</v>
      </c>
      <c r="F113" s="36" t="s">
        <v>270</v>
      </c>
      <c r="G113" s="36" t="s">
        <v>901</v>
      </c>
      <c r="H113" s="42" t="s">
        <v>912</v>
      </c>
      <c r="I113" s="35" t="s">
        <v>1309</v>
      </c>
      <c r="J113" s="26">
        <v>6.5</v>
      </c>
      <c r="K113" s="26">
        <v>3.75</v>
      </c>
      <c r="L113" s="26">
        <v>566.70000000000005</v>
      </c>
      <c r="M113">
        <v>1334.2</v>
      </c>
      <c r="N113" s="67">
        <f t="shared" si="1"/>
        <v>59829.596412556057</v>
      </c>
    </row>
    <row r="114" spans="1:14" x14ac:dyDescent="0.25">
      <c r="A114" t="s">
        <v>376</v>
      </c>
      <c r="B114" s="34" t="s">
        <v>1310</v>
      </c>
      <c r="C114" s="35" t="s">
        <v>1311</v>
      </c>
      <c r="D114" s="35" t="s">
        <v>1164</v>
      </c>
      <c r="E114" s="35" t="s">
        <v>1302</v>
      </c>
      <c r="F114" s="36" t="s">
        <v>270</v>
      </c>
      <c r="G114" s="36" t="s">
        <v>901</v>
      </c>
      <c r="H114" s="42" t="s">
        <v>902</v>
      </c>
      <c r="I114" s="35" t="s">
        <v>1110</v>
      </c>
      <c r="J114" s="26">
        <v>2.5</v>
      </c>
      <c r="K114" s="26">
        <v>2.25</v>
      </c>
      <c r="L114" s="26">
        <v>131.4</v>
      </c>
      <c r="M114">
        <v>304</v>
      </c>
      <c r="N114" s="67">
        <f t="shared" si="1"/>
        <v>13632.286995515695</v>
      </c>
    </row>
    <row r="115" spans="1:14" x14ac:dyDescent="0.25">
      <c r="A115" t="s">
        <v>376</v>
      </c>
      <c r="B115" s="34" t="s">
        <v>1312</v>
      </c>
      <c r="C115" s="35" t="s">
        <v>1313</v>
      </c>
      <c r="D115" s="35" t="s">
        <v>1314</v>
      </c>
      <c r="E115" s="35" t="s">
        <v>1302</v>
      </c>
      <c r="F115" s="36" t="s">
        <v>270</v>
      </c>
      <c r="G115" s="36" t="s">
        <v>901</v>
      </c>
      <c r="H115" s="42" t="s">
        <v>902</v>
      </c>
      <c r="I115" s="35" t="s">
        <v>1098</v>
      </c>
      <c r="J115" s="26">
        <v>2.5</v>
      </c>
      <c r="K115" s="26">
        <v>1.75</v>
      </c>
      <c r="L115" s="26">
        <v>99.6</v>
      </c>
      <c r="M115">
        <v>228.1</v>
      </c>
      <c r="N115" s="67">
        <f t="shared" si="1"/>
        <v>10228.699551569505</v>
      </c>
    </row>
    <row r="116" spans="1:14" x14ac:dyDescent="0.25">
      <c r="A116" t="s">
        <v>392</v>
      </c>
      <c r="B116" s="34" t="s">
        <v>1315</v>
      </c>
      <c r="C116" s="35" t="s">
        <v>1316</v>
      </c>
      <c r="D116" s="35" t="s">
        <v>1317</v>
      </c>
      <c r="E116" s="35" t="s">
        <v>1318</v>
      </c>
      <c r="F116" s="36" t="s">
        <v>270</v>
      </c>
      <c r="G116" s="36" t="s">
        <v>901</v>
      </c>
      <c r="H116" s="42" t="s">
        <v>902</v>
      </c>
      <c r="I116" s="35" t="s">
        <v>986</v>
      </c>
      <c r="J116" s="26">
        <v>2.5</v>
      </c>
      <c r="K116" s="26">
        <v>1.25</v>
      </c>
      <c r="L116" s="26">
        <v>66.400000000000006</v>
      </c>
      <c r="M116">
        <v>148.69999999999999</v>
      </c>
      <c r="N116" s="67">
        <f t="shared" si="1"/>
        <v>6668.1614349775773</v>
      </c>
    </row>
    <row r="117" spans="1:14" x14ac:dyDescent="0.25">
      <c r="A117" t="s">
        <v>392</v>
      </c>
      <c r="B117" s="34" t="s">
        <v>1319</v>
      </c>
      <c r="C117" s="35" t="s">
        <v>1320</v>
      </c>
      <c r="D117" s="35" t="s">
        <v>1321</v>
      </c>
      <c r="E117" s="35" t="s">
        <v>1318</v>
      </c>
      <c r="F117" s="36" t="s">
        <v>270</v>
      </c>
      <c r="G117" s="36" t="s">
        <v>901</v>
      </c>
      <c r="H117" s="42" t="s">
        <v>902</v>
      </c>
      <c r="I117" s="35" t="s">
        <v>1322</v>
      </c>
      <c r="J117" s="26">
        <v>2.5</v>
      </c>
      <c r="K117" s="26">
        <v>2</v>
      </c>
      <c r="L117" s="26">
        <v>115.5</v>
      </c>
      <c r="M117">
        <v>268.60000000000002</v>
      </c>
      <c r="N117" s="67">
        <f t="shared" si="1"/>
        <v>12044.843049327355</v>
      </c>
    </row>
    <row r="118" spans="1:14" x14ac:dyDescent="0.25">
      <c r="A118" t="s">
        <v>392</v>
      </c>
      <c r="B118" s="34" t="s">
        <v>1323</v>
      </c>
      <c r="C118" s="35" t="s">
        <v>1324</v>
      </c>
      <c r="D118" s="35" t="s">
        <v>1317</v>
      </c>
      <c r="E118" s="35" t="s">
        <v>1318</v>
      </c>
      <c r="F118" s="36" t="s">
        <v>270</v>
      </c>
      <c r="G118" s="36" t="s">
        <v>901</v>
      </c>
      <c r="H118" s="42" t="s">
        <v>902</v>
      </c>
      <c r="I118" s="35" t="s">
        <v>1325</v>
      </c>
      <c r="J118" s="26">
        <v>2.5</v>
      </c>
      <c r="K118" s="26">
        <v>1.75</v>
      </c>
      <c r="L118" s="26">
        <v>98.2</v>
      </c>
      <c r="M118">
        <v>224.6</v>
      </c>
      <c r="N118" s="67">
        <f t="shared" si="1"/>
        <v>10071.748878923767</v>
      </c>
    </row>
    <row r="119" spans="1:14" x14ac:dyDescent="0.25">
      <c r="A119" t="s">
        <v>392</v>
      </c>
      <c r="B119" s="34" t="s">
        <v>1326</v>
      </c>
      <c r="C119" s="35" t="s">
        <v>1327</v>
      </c>
      <c r="D119" s="35" t="s">
        <v>1328</v>
      </c>
      <c r="E119" s="35" t="s">
        <v>403</v>
      </c>
      <c r="F119" s="36" t="s">
        <v>203</v>
      </c>
      <c r="G119" s="36" t="s">
        <v>922</v>
      </c>
      <c r="H119" s="42" t="s">
        <v>907</v>
      </c>
      <c r="I119" s="35" t="s">
        <v>923</v>
      </c>
      <c r="J119" s="26">
        <v>3</v>
      </c>
      <c r="K119" s="26">
        <v>2.75</v>
      </c>
      <c r="L119" s="26">
        <v>168</v>
      </c>
      <c r="M119">
        <v>387.8</v>
      </c>
      <c r="N119" s="67">
        <f t="shared" si="1"/>
        <v>17390.134529147981</v>
      </c>
    </row>
    <row r="120" spans="1:14" x14ac:dyDescent="0.25">
      <c r="A120" t="s">
        <v>409</v>
      </c>
      <c r="B120" s="34" t="s">
        <v>1329</v>
      </c>
      <c r="C120" s="35" t="s">
        <v>1330</v>
      </c>
      <c r="D120" s="35" t="s">
        <v>1331</v>
      </c>
      <c r="E120" s="35" t="s">
        <v>1332</v>
      </c>
      <c r="F120" s="36" t="s">
        <v>270</v>
      </c>
      <c r="G120" s="36" t="s">
        <v>901</v>
      </c>
      <c r="H120" s="42" t="s">
        <v>902</v>
      </c>
      <c r="I120" s="35" t="s">
        <v>986</v>
      </c>
      <c r="J120" s="26">
        <v>2.5</v>
      </c>
      <c r="K120" s="26">
        <v>1.25</v>
      </c>
      <c r="L120" s="26">
        <v>66.400000000000006</v>
      </c>
      <c r="M120">
        <v>148.69999999999999</v>
      </c>
      <c r="N120" s="67">
        <f t="shared" si="1"/>
        <v>6668.1614349775773</v>
      </c>
    </row>
    <row r="121" spans="1:14" x14ac:dyDescent="0.25">
      <c r="A121" t="s">
        <v>409</v>
      </c>
      <c r="B121" s="34" t="s">
        <v>1333</v>
      </c>
      <c r="C121" s="35" t="s">
        <v>1334</v>
      </c>
      <c r="D121" s="35" t="s">
        <v>1335</v>
      </c>
      <c r="E121" s="35" t="s">
        <v>1332</v>
      </c>
      <c r="F121" s="36" t="s">
        <v>270</v>
      </c>
      <c r="G121" s="36" t="s">
        <v>901</v>
      </c>
      <c r="H121" s="42" t="s">
        <v>902</v>
      </c>
      <c r="I121" s="35" t="s">
        <v>986</v>
      </c>
      <c r="J121" s="26">
        <v>2.5</v>
      </c>
      <c r="K121" s="26">
        <v>1.25</v>
      </c>
      <c r="L121" s="26">
        <v>66.400000000000006</v>
      </c>
      <c r="M121">
        <v>148.69999999999999</v>
      </c>
      <c r="N121" s="67">
        <f t="shared" si="1"/>
        <v>6668.1614349775773</v>
      </c>
    </row>
    <row r="122" spans="1:14" x14ac:dyDescent="0.25">
      <c r="A122" t="s">
        <v>409</v>
      </c>
      <c r="B122" s="34" t="s">
        <v>1336</v>
      </c>
      <c r="C122" s="35" t="s">
        <v>1337</v>
      </c>
      <c r="D122" s="35" t="s">
        <v>1338</v>
      </c>
      <c r="E122" s="35" t="s">
        <v>1332</v>
      </c>
      <c r="F122" s="36" t="s">
        <v>270</v>
      </c>
      <c r="G122" s="36" t="s">
        <v>901</v>
      </c>
      <c r="H122" s="42" t="s">
        <v>902</v>
      </c>
      <c r="I122" s="35" t="s">
        <v>986</v>
      </c>
      <c r="J122" s="26">
        <v>2.5</v>
      </c>
      <c r="K122" s="26">
        <v>1.25</v>
      </c>
      <c r="L122" s="26">
        <v>66.400000000000006</v>
      </c>
      <c r="M122">
        <v>148.69999999999999</v>
      </c>
      <c r="N122" s="67">
        <f t="shared" si="1"/>
        <v>6668.1614349775773</v>
      </c>
    </row>
    <row r="123" spans="1:14" x14ac:dyDescent="0.25">
      <c r="A123" t="s">
        <v>409</v>
      </c>
      <c r="B123" s="34" t="s">
        <v>1339</v>
      </c>
      <c r="C123" s="35" t="s">
        <v>1340</v>
      </c>
      <c r="D123" s="35" t="s">
        <v>1335</v>
      </c>
      <c r="E123" s="35" t="s">
        <v>1332</v>
      </c>
      <c r="F123" s="36" t="s">
        <v>270</v>
      </c>
      <c r="G123" s="36" t="s">
        <v>901</v>
      </c>
      <c r="H123" s="42" t="s">
        <v>902</v>
      </c>
      <c r="I123" s="35" t="s">
        <v>986</v>
      </c>
      <c r="J123" s="26">
        <v>2.5</v>
      </c>
      <c r="K123" s="26">
        <v>1.25</v>
      </c>
      <c r="L123" s="26">
        <v>66.400000000000006</v>
      </c>
      <c r="M123">
        <v>148.69999999999999</v>
      </c>
      <c r="N123" s="67">
        <f t="shared" si="1"/>
        <v>6668.1614349775773</v>
      </c>
    </row>
    <row r="124" spans="1:14" x14ac:dyDescent="0.25">
      <c r="A124" t="s">
        <v>409</v>
      </c>
      <c r="B124" s="34" t="s">
        <v>1341</v>
      </c>
      <c r="C124" s="35" t="s">
        <v>1342</v>
      </c>
      <c r="D124" s="35" t="s">
        <v>1164</v>
      </c>
      <c r="E124" s="35" t="s">
        <v>1343</v>
      </c>
      <c r="F124" s="36" t="s">
        <v>48</v>
      </c>
      <c r="G124" s="36" t="s">
        <v>894</v>
      </c>
      <c r="H124" s="42" t="s">
        <v>895</v>
      </c>
      <c r="I124" s="35" t="s">
        <v>896</v>
      </c>
      <c r="J124" s="26">
        <v>1.5</v>
      </c>
      <c r="K124" s="26">
        <v>1.75</v>
      </c>
      <c r="L124" s="26">
        <v>50.7</v>
      </c>
      <c r="M124">
        <v>117</v>
      </c>
      <c r="N124" s="67">
        <f t="shared" si="1"/>
        <v>5246.6367713004483</v>
      </c>
    </row>
    <row r="125" spans="1:14" x14ac:dyDescent="0.25">
      <c r="A125" t="s">
        <v>431</v>
      </c>
      <c r="B125" s="34" t="s">
        <v>1344</v>
      </c>
      <c r="C125" s="35" t="s">
        <v>1345</v>
      </c>
      <c r="D125" s="35" t="s">
        <v>1346</v>
      </c>
      <c r="E125" s="35" t="s">
        <v>441</v>
      </c>
      <c r="F125" s="36" t="s">
        <v>270</v>
      </c>
      <c r="G125" s="36" t="s">
        <v>901</v>
      </c>
      <c r="H125" s="42" t="s">
        <v>902</v>
      </c>
      <c r="I125" s="35" t="s">
        <v>1347</v>
      </c>
      <c r="J125" s="26">
        <v>2.5</v>
      </c>
      <c r="K125" s="26">
        <v>2.5</v>
      </c>
      <c r="L125" s="26">
        <v>145.1</v>
      </c>
      <c r="M125">
        <v>334.2</v>
      </c>
      <c r="N125" s="67">
        <f t="shared" si="1"/>
        <v>14986.547085201793</v>
      </c>
    </row>
    <row r="126" spans="1:14" x14ac:dyDescent="0.25">
      <c r="A126" t="s">
        <v>431</v>
      </c>
      <c r="B126" s="34" t="s">
        <v>1348</v>
      </c>
      <c r="C126" s="35" t="s">
        <v>1349</v>
      </c>
      <c r="D126" s="35" t="s">
        <v>1350</v>
      </c>
      <c r="E126" s="35" t="s">
        <v>441</v>
      </c>
      <c r="F126" s="36" t="s">
        <v>270</v>
      </c>
      <c r="G126" s="36" t="s">
        <v>901</v>
      </c>
      <c r="H126" s="42" t="s">
        <v>917</v>
      </c>
      <c r="I126" s="35" t="s">
        <v>1351</v>
      </c>
      <c r="J126" s="26">
        <v>4</v>
      </c>
      <c r="K126" s="26">
        <v>2.5</v>
      </c>
      <c r="L126" s="26">
        <v>227.5</v>
      </c>
      <c r="M126">
        <v>528.4</v>
      </c>
      <c r="N126" s="67">
        <f t="shared" si="1"/>
        <v>23695.067264573991</v>
      </c>
    </row>
    <row r="127" spans="1:14" x14ac:dyDescent="0.25">
      <c r="A127" t="s">
        <v>431</v>
      </c>
      <c r="B127" s="34" t="s">
        <v>1352</v>
      </c>
      <c r="C127" s="35" t="s">
        <v>1353</v>
      </c>
      <c r="D127" s="35" t="s">
        <v>1354</v>
      </c>
      <c r="E127" s="35" t="s">
        <v>441</v>
      </c>
      <c r="F127" s="36" t="s">
        <v>270</v>
      </c>
      <c r="G127" s="36" t="s">
        <v>901</v>
      </c>
      <c r="H127" s="42" t="s">
        <v>1275</v>
      </c>
      <c r="I127" s="35" t="s">
        <v>1355</v>
      </c>
      <c r="J127" s="26">
        <v>5</v>
      </c>
      <c r="K127" s="26">
        <v>3</v>
      </c>
      <c r="L127" s="26">
        <v>356.5</v>
      </c>
      <c r="M127">
        <v>827.1</v>
      </c>
      <c r="N127" s="67">
        <f t="shared" si="1"/>
        <v>37089.686098654711</v>
      </c>
    </row>
    <row r="128" spans="1:14" x14ac:dyDescent="0.25">
      <c r="A128" t="s">
        <v>431</v>
      </c>
      <c r="B128" s="34" t="s">
        <v>1356</v>
      </c>
      <c r="C128" s="35" t="s">
        <v>1357</v>
      </c>
      <c r="D128" s="35" t="s">
        <v>1358</v>
      </c>
      <c r="E128" s="35" t="s">
        <v>441</v>
      </c>
      <c r="F128" s="36" t="s">
        <v>270</v>
      </c>
      <c r="G128" s="36" t="s">
        <v>901</v>
      </c>
      <c r="H128" s="42" t="s">
        <v>902</v>
      </c>
      <c r="I128" s="35" t="s">
        <v>1359</v>
      </c>
      <c r="J128" s="26">
        <v>2.5</v>
      </c>
      <c r="K128" s="26">
        <v>1.5</v>
      </c>
      <c r="L128" s="26">
        <v>78.7</v>
      </c>
      <c r="M128">
        <v>175.4</v>
      </c>
      <c r="N128" s="67">
        <f t="shared" si="1"/>
        <v>7865.4708520179374</v>
      </c>
    </row>
    <row r="129" spans="1:14" x14ac:dyDescent="0.25">
      <c r="A129" t="s">
        <v>431</v>
      </c>
      <c r="B129" s="34" t="s">
        <v>1360</v>
      </c>
      <c r="C129" s="35" t="s">
        <v>1361</v>
      </c>
      <c r="D129" s="35" t="s">
        <v>1362</v>
      </c>
      <c r="E129" s="35" t="s">
        <v>1318</v>
      </c>
      <c r="F129" s="36" t="s">
        <v>48</v>
      </c>
      <c r="G129" s="36" t="s">
        <v>894</v>
      </c>
      <c r="H129" s="42" t="s">
        <v>1114</v>
      </c>
      <c r="I129" s="35" t="s">
        <v>1042</v>
      </c>
      <c r="J129" s="26">
        <v>4.5</v>
      </c>
      <c r="K129" s="26">
        <v>1</v>
      </c>
      <c r="L129" s="26">
        <v>77.900000000000006</v>
      </c>
      <c r="M129">
        <v>174.6</v>
      </c>
      <c r="N129" s="67">
        <f t="shared" si="1"/>
        <v>7829.5964125560531</v>
      </c>
    </row>
    <row r="130" spans="1:14" x14ac:dyDescent="0.25">
      <c r="A130" t="s">
        <v>454</v>
      </c>
      <c r="B130" s="34" t="s">
        <v>1363</v>
      </c>
      <c r="C130" s="35" t="s">
        <v>1364</v>
      </c>
      <c r="D130" s="35" t="s">
        <v>1365</v>
      </c>
      <c r="E130" s="35" t="s">
        <v>1332</v>
      </c>
      <c r="F130" s="36" t="s">
        <v>270</v>
      </c>
      <c r="G130" s="36" t="s">
        <v>901</v>
      </c>
      <c r="H130" s="42" t="s">
        <v>902</v>
      </c>
      <c r="I130" s="35" t="s">
        <v>1366</v>
      </c>
      <c r="J130" s="26">
        <v>2.5</v>
      </c>
      <c r="K130" s="26">
        <v>2.25</v>
      </c>
      <c r="L130" s="26">
        <v>129.9</v>
      </c>
      <c r="M130">
        <v>298.5</v>
      </c>
      <c r="N130" s="67">
        <f t="shared" ref="N130:N193" si="2">(40000/892)*M130</f>
        <v>13385.650224215246</v>
      </c>
    </row>
    <row r="131" spans="1:14" x14ac:dyDescent="0.25">
      <c r="A131" t="s">
        <v>454</v>
      </c>
      <c r="B131" s="34" t="s">
        <v>1367</v>
      </c>
      <c r="C131" s="35" t="s">
        <v>1368</v>
      </c>
      <c r="D131" s="35" t="s">
        <v>1369</v>
      </c>
      <c r="E131" s="35" t="s">
        <v>1332</v>
      </c>
      <c r="F131" s="36" t="s">
        <v>270</v>
      </c>
      <c r="G131" s="36" t="s">
        <v>901</v>
      </c>
      <c r="H131" s="42" t="s">
        <v>902</v>
      </c>
      <c r="I131" s="35" t="s">
        <v>1370</v>
      </c>
      <c r="J131" s="26">
        <v>2.5</v>
      </c>
      <c r="K131" s="26">
        <v>2.75</v>
      </c>
      <c r="L131" s="26">
        <v>161.69999999999999</v>
      </c>
      <c r="M131">
        <v>374.4</v>
      </c>
      <c r="N131" s="67">
        <f t="shared" si="2"/>
        <v>16789.237668161433</v>
      </c>
    </row>
    <row r="132" spans="1:14" x14ac:dyDescent="0.25">
      <c r="A132" t="s">
        <v>454</v>
      </c>
      <c r="B132" s="34" t="s">
        <v>1371</v>
      </c>
      <c r="C132" s="35" t="s">
        <v>1372</v>
      </c>
      <c r="D132" s="35" t="s">
        <v>1365</v>
      </c>
      <c r="E132" s="35" t="s">
        <v>1373</v>
      </c>
      <c r="F132" s="36" t="s">
        <v>48</v>
      </c>
      <c r="G132" s="36" t="s">
        <v>894</v>
      </c>
      <c r="H132" s="42" t="s">
        <v>895</v>
      </c>
      <c r="I132" s="35" t="s">
        <v>1271</v>
      </c>
      <c r="J132" s="26">
        <v>1.5</v>
      </c>
      <c r="K132" s="26">
        <v>1.5</v>
      </c>
      <c r="L132" s="26">
        <v>43.3</v>
      </c>
      <c r="M132">
        <v>101</v>
      </c>
      <c r="N132" s="67">
        <f t="shared" si="2"/>
        <v>4529.1479820627801</v>
      </c>
    </row>
    <row r="133" spans="1:14" x14ac:dyDescent="0.25">
      <c r="A133" t="s">
        <v>454</v>
      </c>
      <c r="B133" s="34" t="s">
        <v>1374</v>
      </c>
      <c r="C133" s="35" t="s">
        <v>1375</v>
      </c>
      <c r="D133" s="35" t="s">
        <v>1376</v>
      </c>
      <c r="E133" s="35" t="s">
        <v>1332</v>
      </c>
      <c r="F133" s="36" t="s">
        <v>270</v>
      </c>
      <c r="G133" s="36" t="s">
        <v>901</v>
      </c>
      <c r="H133" s="42" t="s">
        <v>902</v>
      </c>
      <c r="I133" s="35" t="s">
        <v>1377</v>
      </c>
      <c r="J133" s="26">
        <v>2.5</v>
      </c>
      <c r="K133" s="26">
        <v>2.25</v>
      </c>
      <c r="L133" s="26">
        <v>131.4</v>
      </c>
      <c r="M133">
        <v>304</v>
      </c>
      <c r="N133" s="67">
        <f t="shared" si="2"/>
        <v>13632.286995515695</v>
      </c>
    </row>
    <row r="134" spans="1:14" x14ac:dyDescent="0.25">
      <c r="A134" t="s">
        <v>1378</v>
      </c>
      <c r="B134" s="34" t="s">
        <v>1379</v>
      </c>
      <c r="C134" s="35" t="s">
        <v>1380</v>
      </c>
      <c r="D134" s="35" t="s">
        <v>1381</v>
      </c>
      <c r="E134" s="35" t="s">
        <v>1382</v>
      </c>
      <c r="F134" s="36" t="s">
        <v>270</v>
      </c>
      <c r="G134" s="36" t="s">
        <v>901</v>
      </c>
      <c r="H134" s="42" t="s">
        <v>902</v>
      </c>
      <c r="I134" s="35" t="s">
        <v>1098</v>
      </c>
      <c r="J134" s="26">
        <v>2.5</v>
      </c>
      <c r="K134" s="26">
        <v>1.75</v>
      </c>
      <c r="L134" s="26">
        <v>99.6</v>
      </c>
      <c r="M134">
        <v>228.1</v>
      </c>
      <c r="N134" s="67">
        <f t="shared" si="2"/>
        <v>10228.699551569505</v>
      </c>
    </row>
    <row r="135" spans="1:14" x14ac:dyDescent="0.25">
      <c r="A135" t="s">
        <v>1378</v>
      </c>
      <c r="B135" s="34" t="s">
        <v>1383</v>
      </c>
      <c r="C135" s="35" t="s">
        <v>1384</v>
      </c>
      <c r="D135" s="35" t="s">
        <v>1385</v>
      </c>
      <c r="E135" s="35" t="s">
        <v>1382</v>
      </c>
      <c r="F135" s="36" t="s">
        <v>48</v>
      </c>
      <c r="G135" s="36" t="s">
        <v>894</v>
      </c>
      <c r="H135" s="42" t="s">
        <v>895</v>
      </c>
      <c r="I135" s="35" t="s">
        <v>1042</v>
      </c>
      <c r="J135" s="26">
        <v>1.5</v>
      </c>
      <c r="K135" s="26">
        <v>1</v>
      </c>
      <c r="L135" s="26">
        <v>26</v>
      </c>
      <c r="M135">
        <v>58.2</v>
      </c>
      <c r="N135" s="67">
        <f t="shared" si="2"/>
        <v>2609.865470852018</v>
      </c>
    </row>
    <row r="136" spans="1:14" x14ac:dyDescent="0.25">
      <c r="A136" t="s">
        <v>1378</v>
      </c>
      <c r="B136" s="34" t="s">
        <v>1386</v>
      </c>
      <c r="C136" s="35" t="s">
        <v>1387</v>
      </c>
      <c r="D136" s="35" t="s">
        <v>1388</v>
      </c>
      <c r="E136" s="35" t="s">
        <v>1382</v>
      </c>
      <c r="F136" s="36" t="s">
        <v>270</v>
      </c>
      <c r="G136" s="36" t="s">
        <v>901</v>
      </c>
      <c r="H136" s="42" t="s">
        <v>917</v>
      </c>
      <c r="I136" s="35" t="s">
        <v>1389</v>
      </c>
      <c r="J136" s="26">
        <v>4</v>
      </c>
      <c r="K136" s="26">
        <v>2.25</v>
      </c>
      <c r="L136" s="26">
        <v>207.9</v>
      </c>
      <c r="M136">
        <v>485.7</v>
      </c>
      <c r="N136" s="67">
        <f t="shared" si="2"/>
        <v>21780.269058295962</v>
      </c>
    </row>
    <row r="137" spans="1:14" x14ac:dyDescent="0.25">
      <c r="A137" t="s">
        <v>1378</v>
      </c>
      <c r="B137" s="34" t="s">
        <v>1390</v>
      </c>
      <c r="C137" s="35" t="s">
        <v>1391</v>
      </c>
      <c r="D137" s="35" t="s">
        <v>1392</v>
      </c>
      <c r="E137" s="35" t="s">
        <v>1382</v>
      </c>
      <c r="F137" s="36" t="s">
        <v>203</v>
      </c>
      <c r="G137" s="36" t="s">
        <v>922</v>
      </c>
      <c r="H137" s="42" t="s">
        <v>907</v>
      </c>
      <c r="I137" s="35" t="s">
        <v>923</v>
      </c>
      <c r="J137" s="26">
        <v>3</v>
      </c>
      <c r="K137" s="26">
        <v>2.75</v>
      </c>
      <c r="L137" s="26">
        <v>168</v>
      </c>
      <c r="M137">
        <v>387.8</v>
      </c>
      <c r="N137" s="67">
        <f t="shared" si="2"/>
        <v>17390.134529147981</v>
      </c>
    </row>
    <row r="138" spans="1:14" x14ac:dyDescent="0.25">
      <c r="A138" t="s">
        <v>473</v>
      </c>
      <c r="B138" s="34" t="s">
        <v>1393</v>
      </c>
      <c r="C138" s="35" t="s">
        <v>1394</v>
      </c>
      <c r="D138" s="35" t="s">
        <v>1164</v>
      </c>
      <c r="E138" s="35" t="s">
        <v>482</v>
      </c>
      <c r="F138" s="36" t="s">
        <v>270</v>
      </c>
      <c r="G138" s="36" t="s">
        <v>901</v>
      </c>
      <c r="H138" s="42" t="s">
        <v>902</v>
      </c>
      <c r="I138" s="35" t="s">
        <v>1377</v>
      </c>
      <c r="J138" s="26">
        <v>2.5</v>
      </c>
      <c r="K138" s="26">
        <v>2.25</v>
      </c>
      <c r="L138" s="26">
        <v>131.4</v>
      </c>
      <c r="M138">
        <v>304</v>
      </c>
      <c r="N138" s="67">
        <f t="shared" si="2"/>
        <v>13632.286995515695</v>
      </c>
    </row>
    <row r="139" spans="1:14" x14ac:dyDescent="0.25">
      <c r="A139" t="s">
        <v>473</v>
      </c>
      <c r="B139" s="34" t="s">
        <v>1395</v>
      </c>
      <c r="C139" s="35" t="s">
        <v>1396</v>
      </c>
      <c r="D139" s="35" t="s">
        <v>1397</v>
      </c>
      <c r="E139" s="35" t="s">
        <v>482</v>
      </c>
      <c r="F139" s="36" t="s">
        <v>270</v>
      </c>
      <c r="G139" s="36" t="s">
        <v>901</v>
      </c>
      <c r="H139" s="42" t="s">
        <v>902</v>
      </c>
      <c r="I139" s="35" t="s">
        <v>1398</v>
      </c>
      <c r="J139" s="26">
        <v>2.5</v>
      </c>
      <c r="K139" s="26">
        <v>2.25</v>
      </c>
      <c r="L139" s="26">
        <v>134.19999999999999</v>
      </c>
      <c r="M139">
        <v>313.5</v>
      </c>
      <c r="N139" s="67">
        <f t="shared" si="2"/>
        <v>14058.29596412556</v>
      </c>
    </row>
    <row r="140" spans="1:14" x14ac:dyDescent="0.25">
      <c r="A140" t="s">
        <v>473</v>
      </c>
      <c r="B140" s="34" t="s">
        <v>1399</v>
      </c>
      <c r="C140" s="35" t="s">
        <v>1400</v>
      </c>
      <c r="D140" s="35" t="s">
        <v>1401</v>
      </c>
      <c r="E140" s="35" t="s">
        <v>482</v>
      </c>
      <c r="F140" s="36" t="s">
        <v>270</v>
      </c>
      <c r="G140" s="36" t="s">
        <v>901</v>
      </c>
      <c r="H140" s="42" t="s">
        <v>902</v>
      </c>
      <c r="I140" s="35" t="s">
        <v>1377</v>
      </c>
      <c r="J140" s="26">
        <v>2.5</v>
      </c>
      <c r="K140" s="26">
        <v>2.25</v>
      </c>
      <c r="L140" s="26">
        <v>131.4</v>
      </c>
      <c r="M140">
        <v>304</v>
      </c>
      <c r="N140" s="67">
        <f t="shared" si="2"/>
        <v>13632.286995515695</v>
      </c>
    </row>
    <row r="141" spans="1:14" x14ac:dyDescent="0.25">
      <c r="A141" t="s">
        <v>473</v>
      </c>
      <c r="B141" s="34" t="s">
        <v>1402</v>
      </c>
      <c r="C141" s="35" t="s">
        <v>1403</v>
      </c>
      <c r="D141" s="35" t="s">
        <v>1404</v>
      </c>
      <c r="E141" s="35" t="s">
        <v>482</v>
      </c>
      <c r="F141" s="36" t="s">
        <v>270</v>
      </c>
      <c r="G141" s="36" t="s">
        <v>901</v>
      </c>
      <c r="H141" s="42" t="s">
        <v>902</v>
      </c>
      <c r="I141" s="35" t="s">
        <v>1098</v>
      </c>
      <c r="J141" s="26">
        <v>2.5</v>
      </c>
      <c r="K141" s="26">
        <v>1.75</v>
      </c>
      <c r="L141" s="26">
        <v>99.6</v>
      </c>
      <c r="M141">
        <v>228.1</v>
      </c>
      <c r="N141" s="67">
        <f t="shared" si="2"/>
        <v>10228.699551569505</v>
      </c>
    </row>
    <row r="142" spans="1:14" x14ac:dyDescent="0.25">
      <c r="A142" t="s">
        <v>491</v>
      </c>
      <c r="B142" s="34" t="s">
        <v>1405</v>
      </c>
      <c r="C142" s="35" t="s">
        <v>1406</v>
      </c>
      <c r="D142" s="35" t="s">
        <v>1407</v>
      </c>
      <c r="E142" s="35" t="s">
        <v>501</v>
      </c>
      <c r="F142" s="36" t="s">
        <v>270</v>
      </c>
      <c r="G142" s="36" t="s">
        <v>901</v>
      </c>
      <c r="H142" s="42" t="s">
        <v>902</v>
      </c>
      <c r="I142" s="35" t="s">
        <v>1408</v>
      </c>
      <c r="J142" s="26">
        <v>2.5</v>
      </c>
      <c r="K142" s="26">
        <v>2.75</v>
      </c>
      <c r="L142" s="26">
        <v>164.5</v>
      </c>
      <c r="M142">
        <v>383.4</v>
      </c>
      <c r="N142" s="67">
        <f t="shared" si="2"/>
        <v>17192.825112107621</v>
      </c>
    </row>
    <row r="143" spans="1:14" x14ac:dyDescent="0.25">
      <c r="A143" t="s">
        <v>491</v>
      </c>
      <c r="B143" s="34" t="s">
        <v>1409</v>
      </c>
      <c r="C143" s="35" t="s">
        <v>1410</v>
      </c>
      <c r="D143" s="35" t="s">
        <v>1407</v>
      </c>
      <c r="E143" s="35" t="s">
        <v>501</v>
      </c>
      <c r="F143" s="36" t="s">
        <v>270</v>
      </c>
      <c r="G143" s="36" t="s">
        <v>901</v>
      </c>
      <c r="H143" s="42" t="s">
        <v>902</v>
      </c>
      <c r="I143" s="35" t="s">
        <v>1398</v>
      </c>
      <c r="J143" s="26">
        <v>2.5</v>
      </c>
      <c r="K143" s="26">
        <v>2.25</v>
      </c>
      <c r="L143" s="26">
        <v>134.19999999999999</v>
      </c>
      <c r="M143">
        <v>313.5</v>
      </c>
      <c r="N143" s="67">
        <f t="shared" si="2"/>
        <v>14058.29596412556</v>
      </c>
    </row>
    <row r="144" spans="1:14" x14ac:dyDescent="0.25">
      <c r="A144" t="s">
        <v>491</v>
      </c>
      <c r="B144" s="34" t="s">
        <v>1411</v>
      </c>
      <c r="C144" s="35" t="s">
        <v>1412</v>
      </c>
      <c r="D144" s="35" t="s">
        <v>1413</v>
      </c>
      <c r="E144" s="35" t="s">
        <v>501</v>
      </c>
      <c r="F144" s="36" t="s">
        <v>270</v>
      </c>
      <c r="G144" s="36" t="s">
        <v>901</v>
      </c>
      <c r="H144" s="42" t="s">
        <v>902</v>
      </c>
      <c r="I144" s="35" t="s">
        <v>1414</v>
      </c>
      <c r="J144" s="26">
        <v>2.5</v>
      </c>
      <c r="K144" s="26">
        <v>2.75</v>
      </c>
      <c r="L144" s="26">
        <v>166</v>
      </c>
      <c r="M144">
        <v>389.4</v>
      </c>
      <c r="N144" s="67">
        <f t="shared" si="2"/>
        <v>17461.883408071746</v>
      </c>
    </row>
    <row r="145" spans="1:14" x14ac:dyDescent="0.25">
      <c r="A145" t="s">
        <v>491</v>
      </c>
      <c r="B145" s="34" t="s">
        <v>1415</v>
      </c>
      <c r="C145" s="35" t="s">
        <v>1416</v>
      </c>
      <c r="D145" s="35" t="s">
        <v>1417</v>
      </c>
      <c r="E145" s="35" t="s">
        <v>501</v>
      </c>
      <c r="F145" s="36" t="s">
        <v>270</v>
      </c>
      <c r="G145" s="36" t="s">
        <v>901</v>
      </c>
      <c r="H145" s="42" t="s">
        <v>902</v>
      </c>
      <c r="I145" s="35" t="s">
        <v>1098</v>
      </c>
      <c r="J145" s="26">
        <v>2.5</v>
      </c>
      <c r="K145" s="26">
        <v>1.75</v>
      </c>
      <c r="L145" s="26">
        <v>99.6</v>
      </c>
      <c r="M145">
        <v>228.1</v>
      </c>
      <c r="N145" s="67">
        <f t="shared" si="2"/>
        <v>10228.699551569505</v>
      </c>
    </row>
    <row r="146" spans="1:14" x14ac:dyDescent="0.25">
      <c r="A146" t="s">
        <v>508</v>
      </c>
      <c r="B146" s="34" t="s">
        <v>1418</v>
      </c>
      <c r="C146" s="35" t="s">
        <v>1419</v>
      </c>
      <c r="D146" s="35" t="s">
        <v>1420</v>
      </c>
      <c r="E146" s="35" t="s">
        <v>1421</v>
      </c>
      <c r="F146" s="36" t="s">
        <v>270</v>
      </c>
      <c r="G146" s="36" t="s">
        <v>901</v>
      </c>
      <c r="H146" s="42" t="s">
        <v>902</v>
      </c>
      <c r="I146" s="35" t="s">
        <v>986</v>
      </c>
      <c r="J146" s="26">
        <v>2.5</v>
      </c>
      <c r="K146" s="26">
        <v>1.25</v>
      </c>
      <c r="L146" s="26">
        <v>66.400000000000006</v>
      </c>
      <c r="M146">
        <v>148.69999999999999</v>
      </c>
      <c r="N146" s="67">
        <f t="shared" si="2"/>
        <v>6668.1614349775773</v>
      </c>
    </row>
    <row r="147" spans="1:14" x14ac:dyDescent="0.25">
      <c r="A147" t="s">
        <v>508</v>
      </c>
      <c r="B147" s="34" t="s">
        <v>1422</v>
      </c>
      <c r="C147" s="35" t="s">
        <v>1423</v>
      </c>
      <c r="D147" s="35" t="s">
        <v>1424</v>
      </c>
      <c r="E147" s="35" t="s">
        <v>1421</v>
      </c>
      <c r="F147" s="36" t="s">
        <v>270</v>
      </c>
      <c r="G147" s="36" t="s">
        <v>901</v>
      </c>
      <c r="H147" s="42" t="s">
        <v>902</v>
      </c>
      <c r="I147" s="35" t="s">
        <v>986</v>
      </c>
      <c r="J147" s="26">
        <v>2.5</v>
      </c>
      <c r="K147" s="26">
        <v>1.25</v>
      </c>
      <c r="L147" s="26">
        <v>66.400000000000006</v>
      </c>
      <c r="M147">
        <v>148.69999999999999</v>
      </c>
      <c r="N147" s="67">
        <f t="shared" si="2"/>
        <v>6668.1614349775773</v>
      </c>
    </row>
    <row r="148" spans="1:14" x14ac:dyDescent="0.25">
      <c r="A148" t="s">
        <v>508</v>
      </c>
      <c r="B148" s="34" t="s">
        <v>1425</v>
      </c>
      <c r="C148" s="35" t="s">
        <v>1426</v>
      </c>
      <c r="D148" s="35" t="s">
        <v>1427</v>
      </c>
      <c r="E148" s="35" t="s">
        <v>1421</v>
      </c>
      <c r="F148" s="36" t="s">
        <v>270</v>
      </c>
      <c r="G148" s="36" t="s">
        <v>901</v>
      </c>
      <c r="H148" s="42" t="s">
        <v>902</v>
      </c>
      <c r="I148" s="35" t="s">
        <v>1428</v>
      </c>
      <c r="J148" s="26">
        <v>2.5</v>
      </c>
      <c r="K148" s="26">
        <v>1.75</v>
      </c>
      <c r="L148" s="26">
        <v>101</v>
      </c>
      <c r="M148">
        <v>234.1</v>
      </c>
      <c r="N148" s="67">
        <f t="shared" si="2"/>
        <v>10497.757847533632</v>
      </c>
    </row>
    <row r="149" spans="1:14" x14ac:dyDescent="0.25">
      <c r="A149" t="s">
        <v>508</v>
      </c>
      <c r="B149" s="34" t="s">
        <v>1429</v>
      </c>
      <c r="C149" s="35" t="s">
        <v>1430</v>
      </c>
      <c r="D149" s="35" t="s">
        <v>1431</v>
      </c>
      <c r="E149" s="35" t="s">
        <v>1421</v>
      </c>
      <c r="F149" s="36" t="s">
        <v>270</v>
      </c>
      <c r="G149" s="36" t="s">
        <v>901</v>
      </c>
      <c r="H149" s="42" t="s">
        <v>902</v>
      </c>
      <c r="I149" s="35" t="s">
        <v>1254</v>
      </c>
      <c r="J149" s="26">
        <v>2.5</v>
      </c>
      <c r="K149" s="26">
        <v>1.75</v>
      </c>
      <c r="L149" s="26">
        <v>98.2</v>
      </c>
      <c r="M149">
        <v>224.6</v>
      </c>
      <c r="N149" s="67">
        <f t="shared" si="2"/>
        <v>10071.748878923767</v>
      </c>
    </row>
    <row r="150" spans="1:14" x14ac:dyDescent="0.25">
      <c r="A150" t="s">
        <v>525</v>
      </c>
      <c r="B150" s="34" t="s">
        <v>1432</v>
      </c>
      <c r="C150" s="35" t="s">
        <v>1433</v>
      </c>
      <c r="D150" s="35" t="s">
        <v>1434</v>
      </c>
      <c r="E150" s="35" t="s">
        <v>1435</v>
      </c>
      <c r="F150" s="36" t="s">
        <v>48</v>
      </c>
      <c r="G150" s="36" t="s">
        <v>894</v>
      </c>
      <c r="H150" s="42" t="s">
        <v>895</v>
      </c>
      <c r="I150" s="35" t="s">
        <v>1042</v>
      </c>
      <c r="J150" s="26">
        <v>1.5</v>
      </c>
      <c r="K150" s="26">
        <v>1</v>
      </c>
      <c r="L150" s="26">
        <v>26</v>
      </c>
      <c r="M150">
        <v>58.2</v>
      </c>
      <c r="N150" s="67">
        <f t="shared" si="2"/>
        <v>2609.865470852018</v>
      </c>
    </row>
    <row r="151" spans="1:14" x14ac:dyDescent="0.25">
      <c r="A151" t="s">
        <v>525</v>
      </c>
      <c r="B151" s="34" t="s">
        <v>1436</v>
      </c>
      <c r="C151" s="35" t="s">
        <v>1437</v>
      </c>
      <c r="D151" s="35" t="s">
        <v>1438</v>
      </c>
      <c r="E151" s="35" t="s">
        <v>1435</v>
      </c>
      <c r="F151" s="36" t="s">
        <v>48</v>
      </c>
      <c r="G151" s="36" t="s">
        <v>894</v>
      </c>
      <c r="H151" s="42" t="s">
        <v>895</v>
      </c>
      <c r="I151" s="35" t="s">
        <v>1042</v>
      </c>
      <c r="J151" s="26">
        <v>1.5</v>
      </c>
      <c r="K151" s="26">
        <v>1</v>
      </c>
      <c r="L151" s="26">
        <v>26</v>
      </c>
      <c r="M151">
        <v>58.2</v>
      </c>
      <c r="N151" s="67">
        <f t="shared" si="2"/>
        <v>2609.865470852018</v>
      </c>
    </row>
    <row r="152" spans="1:14" x14ac:dyDescent="0.25">
      <c r="A152" t="s">
        <v>525</v>
      </c>
      <c r="B152" s="34" t="s">
        <v>1439</v>
      </c>
      <c r="C152" s="35" t="s">
        <v>1440</v>
      </c>
      <c r="D152" s="35" t="s">
        <v>1441</v>
      </c>
      <c r="E152" s="35" t="s">
        <v>1435</v>
      </c>
      <c r="F152" s="36" t="s">
        <v>48</v>
      </c>
      <c r="G152" s="36" t="s">
        <v>894</v>
      </c>
      <c r="H152" s="42" t="s">
        <v>895</v>
      </c>
      <c r="I152" s="35" t="s">
        <v>1042</v>
      </c>
      <c r="J152" s="26">
        <v>1.5</v>
      </c>
      <c r="K152" s="26">
        <v>1</v>
      </c>
      <c r="L152" s="26">
        <v>26</v>
      </c>
      <c r="M152">
        <v>58.2</v>
      </c>
      <c r="N152" s="67">
        <f t="shared" si="2"/>
        <v>2609.865470852018</v>
      </c>
    </row>
    <row r="153" spans="1:14" x14ac:dyDescent="0.25">
      <c r="A153" t="s">
        <v>525</v>
      </c>
      <c r="B153" s="34" t="s">
        <v>1442</v>
      </c>
      <c r="C153" s="35" t="s">
        <v>1443</v>
      </c>
      <c r="D153" s="35" t="s">
        <v>1441</v>
      </c>
      <c r="E153" s="35" t="s">
        <v>535</v>
      </c>
      <c r="F153" s="36" t="s">
        <v>203</v>
      </c>
      <c r="G153" s="36" t="s">
        <v>922</v>
      </c>
      <c r="H153" s="42" t="s">
        <v>895</v>
      </c>
      <c r="I153" s="35" t="s">
        <v>1444</v>
      </c>
      <c r="J153" s="26">
        <v>1.5</v>
      </c>
      <c r="K153" s="26">
        <v>1.5</v>
      </c>
      <c r="L153" s="26">
        <v>48.5</v>
      </c>
      <c r="M153">
        <v>116.9</v>
      </c>
      <c r="N153" s="67">
        <f t="shared" si="2"/>
        <v>5242.1524663677128</v>
      </c>
    </row>
    <row r="154" spans="1:14" x14ac:dyDescent="0.25">
      <c r="A154" t="s">
        <v>540</v>
      </c>
      <c r="B154" s="34" t="s">
        <v>1445</v>
      </c>
      <c r="C154" s="35" t="s">
        <v>1446</v>
      </c>
      <c r="D154" s="35" t="s">
        <v>1447</v>
      </c>
      <c r="E154" s="35" t="s">
        <v>550</v>
      </c>
      <c r="F154" s="36" t="s">
        <v>270</v>
      </c>
      <c r="G154" s="36" t="s">
        <v>901</v>
      </c>
      <c r="H154" s="42" t="s">
        <v>902</v>
      </c>
      <c r="I154" s="35" t="s">
        <v>1448</v>
      </c>
      <c r="J154" s="26">
        <v>2.5</v>
      </c>
      <c r="K154" s="26">
        <v>2</v>
      </c>
      <c r="L154" s="26">
        <v>113.3</v>
      </c>
      <c r="M154">
        <v>260.8</v>
      </c>
      <c r="N154" s="67">
        <f t="shared" si="2"/>
        <v>11695.067264573991</v>
      </c>
    </row>
    <row r="155" spans="1:14" x14ac:dyDescent="0.25">
      <c r="A155" t="s">
        <v>540</v>
      </c>
      <c r="B155" s="34" t="s">
        <v>1449</v>
      </c>
      <c r="C155" s="35" t="s">
        <v>1450</v>
      </c>
      <c r="D155" s="35" t="s">
        <v>1451</v>
      </c>
      <c r="E155" s="35" t="s">
        <v>1452</v>
      </c>
      <c r="F155" s="36" t="s">
        <v>48</v>
      </c>
      <c r="G155" s="36" t="s">
        <v>894</v>
      </c>
      <c r="H155" s="42" t="s">
        <v>895</v>
      </c>
      <c r="I155" s="35" t="s">
        <v>1042</v>
      </c>
      <c r="J155" s="26">
        <v>1.5</v>
      </c>
      <c r="K155" s="26">
        <v>1</v>
      </c>
      <c r="L155" s="26">
        <v>26</v>
      </c>
      <c r="M155">
        <v>58.2</v>
      </c>
      <c r="N155" s="67">
        <f t="shared" si="2"/>
        <v>2609.865470852018</v>
      </c>
    </row>
    <row r="156" spans="1:14" x14ac:dyDescent="0.25">
      <c r="A156" t="s">
        <v>540</v>
      </c>
      <c r="B156" s="34" t="s">
        <v>1453</v>
      </c>
      <c r="C156" s="35" t="s">
        <v>1454</v>
      </c>
      <c r="D156" s="35" t="s">
        <v>1164</v>
      </c>
      <c r="E156" s="35" t="s">
        <v>550</v>
      </c>
      <c r="F156" s="36" t="s">
        <v>270</v>
      </c>
      <c r="G156" s="36" t="s">
        <v>901</v>
      </c>
      <c r="H156" s="42" t="s">
        <v>1455</v>
      </c>
      <c r="I156" s="35" t="s">
        <v>1456</v>
      </c>
      <c r="J156" s="26">
        <v>8</v>
      </c>
      <c r="K156" s="26">
        <v>4</v>
      </c>
      <c r="L156" s="26">
        <v>773.7</v>
      </c>
      <c r="M156">
        <v>1827.3</v>
      </c>
      <c r="N156" s="67">
        <f t="shared" si="2"/>
        <v>81941.704035874427</v>
      </c>
    </row>
    <row r="157" spans="1:14" x14ac:dyDescent="0.25">
      <c r="A157" t="s">
        <v>540</v>
      </c>
      <c r="B157" s="34" t="s">
        <v>1457</v>
      </c>
      <c r="C157" s="35" t="s">
        <v>1458</v>
      </c>
      <c r="D157" s="35" t="s">
        <v>1164</v>
      </c>
      <c r="E157" s="35" t="s">
        <v>1452</v>
      </c>
      <c r="F157" s="36" t="s">
        <v>48</v>
      </c>
      <c r="G157" s="36" t="s">
        <v>894</v>
      </c>
      <c r="H157" s="42" t="s">
        <v>1275</v>
      </c>
      <c r="I157" s="35" t="s">
        <v>1459</v>
      </c>
      <c r="J157" s="26">
        <v>5</v>
      </c>
      <c r="K157" s="26">
        <v>1.5</v>
      </c>
      <c r="L157" s="26">
        <v>153</v>
      </c>
      <c r="M157">
        <v>352.8</v>
      </c>
      <c r="N157" s="67">
        <f t="shared" si="2"/>
        <v>15820.627802690582</v>
      </c>
    </row>
    <row r="158" spans="1:14" x14ac:dyDescent="0.25">
      <c r="A158" t="s">
        <v>540</v>
      </c>
      <c r="B158" s="34" t="s">
        <v>1460</v>
      </c>
      <c r="C158" s="35" t="s">
        <v>1461</v>
      </c>
      <c r="D158" s="35" t="s">
        <v>1164</v>
      </c>
      <c r="E158" s="35" t="s">
        <v>550</v>
      </c>
      <c r="F158" s="36" t="s">
        <v>270</v>
      </c>
      <c r="G158" s="36" t="s">
        <v>901</v>
      </c>
      <c r="H158" s="42" t="s">
        <v>1462</v>
      </c>
      <c r="I158" s="35" t="s">
        <v>1463</v>
      </c>
      <c r="J158" s="26">
        <v>5.5</v>
      </c>
      <c r="K158" s="26">
        <v>2.5</v>
      </c>
      <c r="L158" s="26">
        <v>322.3</v>
      </c>
      <c r="M158">
        <v>748.5</v>
      </c>
      <c r="N158" s="67">
        <f t="shared" si="2"/>
        <v>33565.022421524664</v>
      </c>
    </row>
    <row r="159" spans="1:14" x14ac:dyDescent="0.25">
      <c r="A159" t="s">
        <v>558</v>
      </c>
      <c r="B159" s="34" t="s">
        <v>1464</v>
      </c>
      <c r="C159" s="35" t="s">
        <v>1465</v>
      </c>
      <c r="D159" s="35" t="s">
        <v>1466</v>
      </c>
      <c r="E159" s="35" t="s">
        <v>1467</v>
      </c>
      <c r="F159" s="36" t="s">
        <v>270</v>
      </c>
      <c r="G159" s="36" t="s">
        <v>901</v>
      </c>
      <c r="H159" s="42" t="s">
        <v>902</v>
      </c>
      <c r="I159" s="35" t="s">
        <v>1468</v>
      </c>
      <c r="J159" s="26">
        <v>2.5</v>
      </c>
      <c r="K159" s="26">
        <v>2.25</v>
      </c>
      <c r="L159" s="26">
        <v>138.6</v>
      </c>
      <c r="M159">
        <v>332</v>
      </c>
      <c r="N159" s="67">
        <f t="shared" si="2"/>
        <v>14887.892376681613</v>
      </c>
    </row>
    <row r="160" spans="1:14" x14ac:dyDescent="0.25">
      <c r="A160" t="s">
        <v>558</v>
      </c>
      <c r="B160" s="34" t="s">
        <v>1469</v>
      </c>
      <c r="C160" s="35" t="s">
        <v>1470</v>
      </c>
      <c r="D160" s="35" t="s">
        <v>1471</v>
      </c>
      <c r="E160" s="35" t="s">
        <v>1343</v>
      </c>
      <c r="F160" s="36" t="s">
        <v>48</v>
      </c>
      <c r="G160" s="36" t="s">
        <v>894</v>
      </c>
      <c r="H160" s="42" t="s">
        <v>895</v>
      </c>
      <c r="I160" s="35" t="s">
        <v>896</v>
      </c>
      <c r="J160" s="26">
        <v>1.5</v>
      </c>
      <c r="K160" s="26">
        <v>1.75</v>
      </c>
      <c r="L160" s="26">
        <v>50.7</v>
      </c>
      <c r="M160">
        <v>117</v>
      </c>
      <c r="N160" s="67">
        <f t="shared" si="2"/>
        <v>5246.6367713004483</v>
      </c>
    </row>
    <row r="161" spans="1:14" x14ac:dyDescent="0.25">
      <c r="A161" t="s">
        <v>558</v>
      </c>
      <c r="B161" s="34" t="s">
        <v>1472</v>
      </c>
      <c r="C161" s="35" t="s">
        <v>1473</v>
      </c>
      <c r="D161" s="35" t="s">
        <v>1474</v>
      </c>
      <c r="E161" s="35" t="s">
        <v>1343</v>
      </c>
      <c r="F161" s="36" t="s">
        <v>48</v>
      </c>
      <c r="G161" s="36" t="s">
        <v>894</v>
      </c>
      <c r="H161" s="42" t="s">
        <v>895</v>
      </c>
      <c r="I161" s="35" t="s">
        <v>896</v>
      </c>
      <c r="J161" s="26">
        <v>1.5</v>
      </c>
      <c r="K161" s="26">
        <v>1.75</v>
      </c>
      <c r="L161" s="26">
        <v>50.7</v>
      </c>
      <c r="M161">
        <v>117</v>
      </c>
      <c r="N161" s="67">
        <f t="shared" si="2"/>
        <v>5246.6367713004483</v>
      </c>
    </row>
    <row r="162" spans="1:14" x14ac:dyDescent="0.25">
      <c r="A162" t="s">
        <v>558</v>
      </c>
      <c r="B162" s="34" t="s">
        <v>1475</v>
      </c>
      <c r="C162" s="35" t="s">
        <v>1476</v>
      </c>
      <c r="D162" s="35" t="s">
        <v>1477</v>
      </c>
      <c r="E162" s="35" t="s">
        <v>1467</v>
      </c>
      <c r="F162" s="36" t="s">
        <v>270</v>
      </c>
      <c r="G162" s="36" t="s">
        <v>901</v>
      </c>
      <c r="H162" s="42" t="s">
        <v>902</v>
      </c>
      <c r="I162" s="35" t="s">
        <v>1468</v>
      </c>
      <c r="J162" s="26">
        <v>2.5</v>
      </c>
      <c r="K162" s="26">
        <v>2.25</v>
      </c>
      <c r="L162" s="26">
        <v>138.6</v>
      </c>
      <c r="M162">
        <v>332</v>
      </c>
      <c r="N162" s="67">
        <f t="shared" si="2"/>
        <v>14887.892376681613</v>
      </c>
    </row>
    <row r="163" spans="1:14" x14ac:dyDescent="0.25">
      <c r="A163" t="s">
        <v>558</v>
      </c>
      <c r="B163" s="34" t="s">
        <v>1478</v>
      </c>
      <c r="C163" s="35" t="s">
        <v>1479</v>
      </c>
      <c r="D163" s="35" t="s">
        <v>1480</v>
      </c>
      <c r="E163" s="35" t="s">
        <v>569</v>
      </c>
      <c r="F163" s="36" t="s">
        <v>203</v>
      </c>
      <c r="G163" s="36" t="s">
        <v>922</v>
      </c>
      <c r="H163" s="42" t="s">
        <v>895</v>
      </c>
      <c r="I163" s="35" t="s">
        <v>1444</v>
      </c>
      <c r="J163" s="26">
        <v>1.5</v>
      </c>
      <c r="K163" s="26">
        <v>1.5</v>
      </c>
      <c r="L163" s="26">
        <v>48.5</v>
      </c>
      <c r="M163">
        <v>116.9</v>
      </c>
      <c r="N163" s="67">
        <f t="shared" si="2"/>
        <v>5242.1524663677128</v>
      </c>
    </row>
    <row r="164" spans="1:14" x14ac:dyDescent="0.25">
      <c r="A164" t="s">
        <v>577</v>
      </c>
      <c r="B164" s="34" t="s">
        <v>1481</v>
      </c>
      <c r="C164" s="35" t="s">
        <v>1482</v>
      </c>
      <c r="D164" s="35" t="s">
        <v>1483</v>
      </c>
      <c r="E164" s="35" t="s">
        <v>1484</v>
      </c>
      <c r="F164" s="36" t="s">
        <v>270</v>
      </c>
      <c r="G164" s="36" t="s">
        <v>901</v>
      </c>
      <c r="H164" s="42" t="s">
        <v>902</v>
      </c>
      <c r="I164" s="35" t="s">
        <v>1428</v>
      </c>
      <c r="J164" s="26">
        <v>2.5</v>
      </c>
      <c r="K164" s="26">
        <v>1.75</v>
      </c>
      <c r="L164" s="26">
        <v>101</v>
      </c>
      <c r="M164">
        <v>234.1</v>
      </c>
      <c r="N164" s="67">
        <f t="shared" si="2"/>
        <v>10497.757847533632</v>
      </c>
    </row>
    <row r="165" spans="1:14" x14ac:dyDescent="0.25">
      <c r="A165" t="s">
        <v>577</v>
      </c>
      <c r="B165" s="34" t="s">
        <v>1485</v>
      </c>
      <c r="C165" s="35" t="s">
        <v>1486</v>
      </c>
      <c r="D165" s="35" t="s">
        <v>1487</v>
      </c>
      <c r="E165" s="35" t="s">
        <v>1484</v>
      </c>
      <c r="F165" s="36" t="s">
        <v>270</v>
      </c>
      <c r="G165" s="36" t="s">
        <v>901</v>
      </c>
      <c r="H165" s="42" t="s">
        <v>917</v>
      </c>
      <c r="I165" s="35" t="s">
        <v>1488</v>
      </c>
      <c r="J165" s="26">
        <v>4</v>
      </c>
      <c r="K165" s="26">
        <v>3.25</v>
      </c>
      <c r="L165" s="26">
        <v>309.5</v>
      </c>
      <c r="M165">
        <v>733.9</v>
      </c>
      <c r="N165" s="67">
        <f t="shared" si="2"/>
        <v>32910.313901345289</v>
      </c>
    </row>
    <row r="166" spans="1:14" x14ac:dyDescent="0.25">
      <c r="A166" t="s">
        <v>577</v>
      </c>
      <c r="B166" s="34" t="s">
        <v>1489</v>
      </c>
      <c r="C166" s="35" t="s">
        <v>1490</v>
      </c>
      <c r="D166" s="35" t="s">
        <v>1491</v>
      </c>
      <c r="E166" s="35" t="s">
        <v>1484</v>
      </c>
      <c r="F166" s="36" t="s">
        <v>270</v>
      </c>
      <c r="G166" s="36" t="s">
        <v>901</v>
      </c>
      <c r="H166" s="42" t="s">
        <v>912</v>
      </c>
      <c r="I166" s="35" t="s">
        <v>1492</v>
      </c>
      <c r="J166" s="26">
        <v>6.5</v>
      </c>
      <c r="K166" s="26">
        <v>3.25</v>
      </c>
      <c r="L166" s="26">
        <v>495.4</v>
      </c>
      <c r="M166">
        <v>1161.0999999999999</v>
      </c>
      <c r="N166" s="67">
        <f t="shared" si="2"/>
        <v>52067.264573991022</v>
      </c>
    </row>
    <row r="167" spans="1:14" x14ac:dyDescent="0.25">
      <c r="A167" t="s">
        <v>577</v>
      </c>
      <c r="B167" s="34" t="s">
        <v>1493</v>
      </c>
      <c r="C167" s="35" t="s">
        <v>1494</v>
      </c>
      <c r="D167" s="35" t="s">
        <v>1495</v>
      </c>
      <c r="E167" s="35" t="s">
        <v>1484</v>
      </c>
      <c r="F167" s="36" t="s">
        <v>270</v>
      </c>
      <c r="G167" s="36" t="s">
        <v>901</v>
      </c>
      <c r="H167" s="42" t="s">
        <v>1275</v>
      </c>
      <c r="I167" s="35" t="s">
        <v>1496</v>
      </c>
      <c r="J167" s="26">
        <v>5</v>
      </c>
      <c r="K167" s="26">
        <v>2.75</v>
      </c>
      <c r="L167" s="26">
        <v>317.60000000000002</v>
      </c>
      <c r="M167">
        <v>741.3</v>
      </c>
      <c r="N167" s="67">
        <f t="shared" si="2"/>
        <v>33242.152466367712</v>
      </c>
    </row>
    <row r="168" spans="1:14" x14ac:dyDescent="0.25">
      <c r="A168" t="s">
        <v>577</v>
      </c>
      <c r="B168" s="34" t="s">
        <v>1497</v>
      </c>
      <c r="C168" s="35" t="s">
        <v>1498</v>
      </c>
      <c r="D168" s="35" t="s">
        <v>1499</v>
      </c>
      <c r="E168" s="35" t="s">
        <v>1500</v>
      </c>
      <c r="F168" s="36" t="s">
        <v>48</v>
      </c>
      <c r="G168" s="36" t="s">
        <v>894</v>
      </c>
      <c r="H168" s="42" t="s">
        <v>895</v>
      </c>
      <c r="I168" s="35" t="s">
        <v>896</v>
      </c>
      <c r="J168" s="26">
        <v>1.5</v>
      </c>
      <c r="K168" s="26">
        <v>1.75</v>
      </c>
      <c r="L168" s="26">
        <v>50.7</v>
      </c>
      <c r="M168">
        <v>117</v>
      </c>
      <c r="N168" s="67">
        <f t="shared" si="2"/>
        <v>5246.6367713004483</v>
      </c>
    </row>
    <row r="169" spans="1:14" x14ac:dyDescent="0.25">
      <c r="A169" t="s">
        <v>597</v>
      </c>
      <c r="B169" s="34" t="s">
        <v>1501</v>
      </c>
      <c r="C169" s="35" t="s">
        <v>1502</v>
      </c>
      <c r="D169" s="35" t="s">
        <v>1503</v>
      </c>
      <c r="E169" s="35" t="s">
        <v>1332</v>
      </c>
      <c r="F169" s="36" t="s">
        <v>270</v>
      </c>
      <c r="G169" s="36" t="s">
        <v>901</v>
      </c>
      <c r="H169" s="42" t="s">
        <v>902</v>
      </c>
      <c r="I169" s="35" t="s">
        <v>1098</v>
      </c>
      <c r="J169" s="26">
        <v>2.5</v>
      </c>
      <c r="K169" s="26">
        <v>1.75</v>
      </c>
      <c r="L169" s="26">
        <v>99.6</v>
      </c>
      <c r="M169">
        <v>228.1</v>
      </c>
      <c r="N169" s="67">
        <f t="shared" si="2"/>
        <v>10228.699551569505</v>
      </c>
    </row>
    <row r="170" spans="1:14" x14ac:dyDescent="0.25">
      <c r="A170" t="s">
        <v>597</v>
      </c>
      <c r="B170" s="34" t="s">
        <v>1504</v>
      </c>
      <c r="C170" s="35" t="s">
        <v>1505</v>
      </c>
      <c r="D170" s="35" t="s">
        <v>1164</v>
      </c>
      <c r="E170" s="35" t="s">
        <v>1332</v>
      </c>
      <c r="F170" s="36" t="s">
        <v>270</v>
      </c>
      <c r="G170" s="36" t="s">
        <v>901</v>
      </c>
      <c r="H170" s="42" t="s">
        <v>1455</v>
      </c>
      <c r="I170" s="35" t="s">
        <v>1506</v>
      </c>
      <c r="J170" s="26">
        <v>8</v>
      </c>
      <c r="K170" s="26">
        <v>2.75</v>
      </c>
      <c r="L170" s="26">
        <v>558.9</v>
      </c>
      <c r="M170">
        <v>1374.6</v>
      </c>
      <c r="N170" s="67">
        <f t="shared" si="2"/>
        <v>61641.255605381157</v>
      </c>
    </row>
    <row r="171" spans="1:14" x14ac:dyDescent="0.25">
      <c r="A171" t="s">
        <v>597</v>
      </c>
      <c r="B171" s="34" t="s">
        <v>1507</v>
      </c>
      <c r="C171" s="35" t="s">
        <v>1508</v>
      </c>
      <c r="D171" s="35" t="s">
        <v>1164</v>
      </c>
      <c r="E171" s="35" t="s">
        <v>1332</v>
      </c>
      <c r="F171" s="36" t="s">
        <v>270</v>
      </c>
      <c r="G171" s="36" t="s">
        <v>901</v>
      </c>
      <c r="H171" s="42" t="s">
        <v>1509</v>
      </c>
      <c r="I171" s="35" t="s">
        <v>1510</v>
      </c>
      <c r="J171" s="26">
        <v>10</v>
      </c>
      <c r="K171" s="26">
        <v>3.25</v>
      </c>
      <c r="L171" s="26">
        <v>802.5</v>
      </c>
      <c r="M171">
        <v>1922.6</v>
      </c>
      <c r="N171" s="67">
        <f t="shared" si="2"/>
        <v>86215.246636771291</v>
      </c>
    </row>
    <row r="172" spans="1:14" x14ac:dyDescent="0.25">
      <c r="A172" t="s">
        <v>597</v>
      </c>
      <c r="B172" s="34" t="s">
        <v>1511</v>
      </c>
      <c r="C172" s="35" t="s">
        <v>1512</v>
      </c>
      <c r="D172" s="35" t="s">
        <v>1164</v>
      </c>
      <c r="E172" s="35" t="s">
        <v>1332</v>
      </c>
      <c r="F172" s="36" t="s">
        <v>270</v>
      </c>
      <c r="G172" s="36" t="s">
        <v>901</v>
      </c>
      <c r="H172" s="42" t="s">
        <v>902</v>
      </c>
      <c r="I172" s="35" t="s">
        <v>1098</v>
      </c>
      <c r="J172" s="26">
        <v>2.5</v>
      </c>
      <c r="K172" s="26">
        <v>1.75</v>
      </c>
      <c r="L172" s="26">
        <v>99.6</v>
      </c>
      <c r="M172">
        <v>228.1</v>
      </c>
      <c r="N172" s="67">
        <f t="shared" si="2"/>
        <v>10228.699551569505</v>
      </c>
    </row>
    <row r="173" spans="1:14" x14ac:dyDescent="0.25">
      <c r="A173" t="s">
        <v>597</v>
      </c>
      <c r="B173" s="34" t="s">
        <v>1513</v>
      </c>
      <c r="C173" s="35" t="s">
        <v>1514</v>
      </c>
      <c r="D173" s="35" t="s">
        <v>1164</v>
      </c>
      <c r="E173" s="35" t="s">
        <v>1332</v>
      </c>
      <c r="F173" s="36" t="s">
        <v>270</v>
      </c>
      <c r="G173" s="36" t="s">
        <v>901</v>
      </c>
      <c r="H173" s="42" t="s">
        <v>902</v>
      </c>
      <c r="I173" s="35" t="s">
        <v>1098</v>
      </c>
      <c r="J173" s="26">
        <v>2.5</v>
      </c>
      <c r="K173" s="26">
        <v>1.75</v>
      </c>
      <c r="L173" s="26">
        <v>99.6</v>
      </c>
      <c r="M173">
        <v>228.1</v>
      </c>
      <c r="N173" s="67">
        <f t="shared" si="2"/>
        <v>10228.699551569505</v>
      </c>
    </row>
    <row r="174" spans="1:14" x14ac:dyDescent="0.25">
      <c r="A174" t="s">
        <v>597</v>
      </c>
      <c r="B174" s="34" t="s">
        <v>1515</v>
      </c>
      <c r="C174" s="35" t="s">
        <v>1516</v>
      </c>
      <c r="D174" s="35" t="s">
        <v>1517</v>
      </c>
      <c r="E174" s="35" t="s">
        <v>1332</v>
      </c>
      <c r="F174" s="36" t="s">
        <v>270</v>
      </c>
      <c r="G174" s="36" t="s">
        <v>901</v>
      </c>
      <c r="H174" s="42" t="s">
        <v>902</v>
      </c>
      <c r="I174" s="35" t="s">
        <v>1518</v>
      </c>
      <c r="J174" s="26">
        <v>2.5</v>
      </c>
      <c r="K174" s="26">
        <v>2.25</v>
      </c>
      <c r="L174" s="26">
        <v>137.1</v>
      </c>
      <c r="M174">
        <v>325.89999999999998</v>
      </c>
      <c r="N174" s="67">
        <f t="shared" si="2"/>
        <v>14614.349775784751</v>
      </c>
    </row>
    <row r="175" spans="1:14" x14ac:dyDescent="0.25">
      <c r="A175" t="s">
        <v>613</v>
      </c>
      <c r="B175" s="34" t="s">
        <v>1519</v>
      </c>
      <c r="C175" s="35" t="s">
        <v>1520</v>
      </c>
      <c r="D175" s="35" t="s">
        <v>1521</v>
      </c>
      <c r="E175" s="35" t="s">
        <v>1522</v>
      </c>
      <c r="F175" s="36" t="s">
        <v>270</v>
      </c>
      <c r="G175" s="36" t="s">
        <v>901</v>
      </c>
      <c r="H175" s="42" t="s">
        <v>902</v>
      </c>
      <c r="I175" s="35" t="s">
        <v>903</v>
      </c>
      <c r="J175" s="26">
        <v>2.5</v>
      </c>
      <c r="K175" s="26">
        <v>2.25</v>
      </c>
      <c r="L175" s="26">
        <v>129.19999999999999</v>
      </c>
      <c r="M175">
        <v>302.39999999999998</v>
      </c>
      <c r="N175" s="67">
        <f t="shared" si="2"/>
        <v>13560.538116591926</v>
      </c>
    </row>
    <row r="176" spans="1:14" x14ac:dyDescent="0.25">
      <c r="A176" t="s">
        <v>613</v>
      </c>
      <c r="B176" s="34" t="s">
        <v>1523</v>
      </c>
      <c r="C176" s="35" t="s">
        <v>1524</v>
      </c>
      <c r="D176" s="35" t="s">
        <v>1525</v>
      </c>
      <c r="E176" s="35" t="s">
        <v>1522</v>
      </c>
      <c r="F176" s="36" t="s">
        <v>270</v>
      </c>
      <c r="G176" s="36" t="s">
        <v>901</v>
      </c>
      <c r="H176" s="42" t="s">
        <v>902</v>
      </c>
      <c r="I176" s="35" t="s">
        <v>903</v>
      </c>
      <c r="J176" s="26">
        <v>2.5</v>
      </c>
      <c r="K176" s="26">
        <v>2.25</v>
      </c>
      <c r="L176" s="26">
        <v>129.19999999999999</v>
      </c>
      <c r="M176">
        <v>302.39999999999998</v>
      </c>
      <c r="N176" s="67">
        <f t="shared" si="2"/>
        <v>13560.538116591926</v>
      </c>
    </row>
    <row r="177" spans="1:14" x14ac:dyDescent="0.25">
      <c r="A177" t="s">
        <v>613</v>
      </c>
      <c r="B177" s="34" t="s">
        <v>1526</v>
      </c>
      <c r="C177" s="35" t="s">
        <v>1527</v>
      </c>
      <c r="D177" s="35" t="s">
        <v>1528</v>
      </c>
      <c r="E177" s="35" t="s">
        <v>1522</v>
      </c>
      <c r="F177" s="36" t="s">
        <v>270</v>
      </c>
      <c r="G177" s="36" t="s">
        <v>901</v>
      </c>
      <c r="H177" s="42" t="s">
        <v>902</v>
      </c>
      <c r="I177" s="35" t="s">
        <v>903</v>
      </c>
      <c r="J177" s="26">
        <v>2.5</v>
      </c>
      <c r="K177" s="26">
        <v>2.25</v>
      </c>
      <c r="L177" s="26">
        <v>129.19999999999999</v>
      </c>
      <c r="M177">
        <v>302.39999999999998</v>
      </c>
      <c r="N177" s="67">
        <f t="shared" si="2"/>
        <v>13560.538116591926</v>
      </c>
    </row>
    <row r="178" spans="1:14" x14ac:dyDescent="0.25">
      <c r="A178" t="s">
        <v>613</v>
      </c>
      <c r="B178" s="34" t="s">
        <v>1529</v>
      </c>
      <c r="C178" s="35" t="s">
        <v>1530</v>
      </c>
      <c r="D178" s="35" t="s">
        <v>1531</v>
      </c>
      <c r="E178" s="35" t="s">
        <v>1522</v>
      </c>
      <c r="F178" s="36" t="s">
        <v>270</v>
      </c>
      <c r="G178" s="36" t="s">
        <v>901</v>
      </c>
      <c r="H178" s="42" t="s">
        <v>902</v>
      </c>
      <c r="I178" s="35" t="s">
        <v>1532</v>
      </c>
      <c r="J178" s="26">
        <v>2.5</v>
      </c>
      <c r="K178" s="26">
        <v>2.75</v>
      </c>
      <c r="L178" s="26">
        <v>160.9</v>
      </c>
      <c r="M178">
        <v>378.3</v>
      </c>
      <c r="N178" s="67">
        <f t="shared" si="2"/>
        <v>16964.125560538116</v>
      </c>
    </row>
    <row r="179" spans="1:14" x14ac:dyDescent="0.25">
      <c r="A179" t="s">
        <v>613</v>
      </c>
      <c r="B179" s="34" t="s">
        <v>1533</v>
      </c>
      <c r="C179" s="35" t="s">
        <v>1534</v>
      </c>
      <c r="D179" s="35" t="s">
        <v>1531</v>
      </c>
      <c r="E179" s="35" t="s">
        <v>1522</v>
      </c>
      <c r="F179" s="36" t="s">
        <v>270</v>
      </c>
      <c r="G179" s="36" t="s">
        <v>901</v>
      </c>
      <c r="H179" s="42" t="s">
        <v>917</v>
      </c>
      <c r="I179" s="35" t="s">
        <v>1535</v>
      </c>
      <c r="J179" s="26">
        <v>4</v>
      </c>
      <c r="K179" s="26">
        <v>3.75</v>
      </c>
      <c r="L179" s="26">
        <v>361.4</v>
      </c>
      <c r="M179">
        <v>862.8</v>
      </c>
      <c r="N179" s="67">
        <f t="shared" si="2"/>
        <v>38690.582959641251</v>
      </c>
    </row>
    <row r="180" spans="1:14" x14ac:dyDescent="0.25">
      <c r="A180" t="s">
        <v>613</v>
      </c>
      <c r="B180" s="34" t="s">
        <v>1536</v>
      </c>
      <c r="C180" s="35" t="s">
        <v>1537</v>
      </c>
      <c r="D180" s="35" t="s">
        <v>1538</v>
      </c>
      <c r="E180" s="35" t="s">
        <v>1522</v>
      </c>
      <c r="F180" s="36" t="s">
        <v>270</v>
      </c>
      <c r="G180" s="36" t="s">
        <v>901</v>
      </c>
      <c r="H180" s="42" t="s">
        <v>902</v>
      </c>
      <c r="I180" s="35" t="s">
        <v>903</v>
      </c>
      <c r="J180" s="26">
        <v>2.5</v>
      </c>
      <c r="K180" s="26">
        <v>2.25</v>
      </c>
      <c r="L180" s="26">
        <v>129.19999999999999</v>
      </c>
      <c r="M180">
        <v>302.39999999999998</v>
      </c>
      <c r="N180" s="67">
        <f t="shared" si="2"/>
        <v>13560.538116591926</v>
      </c>
    </row>
    <row r="181" spans="1:14" x14ac:dyDescent="0.25">
      <c r="A181" t="s">
        <v>613</v>
      </c>
      <c r="B181" s="34" t="s">
        <v>1539</v>
      </c>
      <c r="C181" s="35" t="s">
        <v>1540</v>
      </c>
      <c r="D181" s="35" t="s">
        <v>1541</v>
      </c>
      <c r="E181" s="35" t="s">
        <v>1522</v>
      </c>
      <c r="F181" s="36" t="s">
        <v>270</v>
      </c>
      <c r="G181" s="36" t="s">
        <v>901</v>
      </c>
      <c r="H181" s="42" t="s">
        <v>902</v>
      </c>
      <c r="I181" s="35" t="s">
        <v>1542</v>
      </c>
      <c r="J181" s="26">
        <v>2.5</v>
      </c>
      <c r="K181" s="26">
        <v>2.75</v>
      </c>
      <c r="L181" s="26">
        <v>159.5</v>
      </c>
      <c r="M181">
        <v>372.8</v>
      </c>
      <c r="N181" s="67">
        <f t="shared" si="2"/>
        <v>16717.488789237668</v>
      </c>
    </row>
    <row r="182" spans="1:14" x14ac:dyDescent="0.25">
      <c r="A182" t="s">
        <v>630</v>
      </c>
      <c r="B182" s="34" t="s">
        <v>1543</v>
      </c>
      <c r="C182" s="35" t="s">
        <v>1544</v>
      </c>
      <c r="D182" s="35" t="s">
        <v>1545</v>
      </c>
      <c r="E182" s="35" t="s">
        <v>1546</v>
      </c>
      <c r="F182" s="36" t="s">
        <v>270</v>
      </c>
      <c r="G182" s="36" t="s">
        <v>901</v>
      </c>
      <c r="H182" s="42" t="s">
        <v>902</v>
      </c>
      <c r="I182" s="35" t="s">
        <v>1359</v>
      </c>
      <c r="J182" s="26">
        <v>2.5</v>
      </c>
      <c r="K182" s="26">
        <v>1.5</v>
      </c>
      <c r="L182" s="26">
        <v>78.7</v>
      </c>
      <c r="M182">
        <v>175.4</v>
      </c>
      <c r="N182" s="67">
        <f t="shared" si="2"/>
        <v>7865.4708520179374</v>
      </c>
    </row>
    <row r="183" spans="1:14" x14ac:dyDescent="0.25">
      <c r="A183" t="s">
        <v>630</v>
      </c>
      <c r="B183" s="34" t="s">
        <v>1547</v>
      </c>
      <c r="C183" s="35" t="s">
        <v>1548</v>
      </c>
      <c r="D183" s="35" t="s">
        <v>1549</v>
      </c>
      <c r="E183" s="35" t="s">
        <v>1546</v>
      </c>
      <c r="F183" s="36" t="s">
        <v>270</v>
      </c>
      <c r="G183" s="36" t="s">
        <v>901</v>
      </c>
      <c r="H183" s="42" t="s">
        <v>902</v>
      </c>
      <c r="I183" s="35" t="s">
        <v>1359</v>
      </c>
      <c r="J183" s="26">
        <v>2.5</v>
      </c>
      <c r="K183" s="26">
        <v>1.5</v>
      </c>
      <c r="L183" s="26">
        <v>78.7</v>
      </c>
      <c r="M183">
        <v>175.4</v>
      </c>
      <c r="N183" s="67">
        <f t="shared" si="2"/>
        <v>7865.4708520179374</v>
      </c>
    </row>
    <row r="184" spans="1:14" x14ac:dyDescent="0.25">
      <c r="A184" t="s">
        <v>630</v>
      </c>
      <c r="B184" s="34" t="s">
        <v>1550</v>
      </c>
      <c r="C184" s="35" t="s">
        <v>1551</v>
      </c>
      <c r="D184" s="35" t="s">
        <v>1552</v>
      </c>
      <c r="E184" s="35" t="s">
        <v>1546</v>
      </c>
      <c r="F184" s="36" t="s">
        <v>270</v>
      </c>
      <c r="G184" s="36" t="s">
        <v>901</v>
      </c>
      <c r="H184" s="42" t="s">
        <v>902</v>
      </c>
      <c r="I184" s="35" t="s">
        <v>1448</v>
      </c>
      <c r="J184" s="26">
        <v>2.5</v>
      </c>
      <c r="K184" s="26">
        <v>2</v>
      </c>
      <c r="L184" s="26">
        <v>113.3</v>
      </c>
      <c r="M184">
        <v>260.8</v>
      </c>
      <c r="N184" s="67">
        <f t="shared" si="2"/>
        <v>11695.067264573991</v>
      </c>
    </row>
    <row r="185" spans="1:14" x14ac:dyDescent="0.25">
      <c r="A185" t="s">
        <v>630</v>
      </c>
      <c r="B185" s="34" t="s">
        <v>1553</v>
      </c>
      <c r="C185" s="35" t="s">
        <v>1554</v>
      </c>
      <c r="D185" s="35" t="s">
        <v>1555</v>
      </c>
      <c r="E185" s="35" t="s">
        <v>1546</v>
      </c>
      <c r="F185" s="36" t="s">
        <v>270</v>
      </c>
      <c r="G185" s="36" t="s">
        <v>901</v>
      </c>
      <c r="H185" s="42" t="s">
        <v>902</v>
      </c>
      <c r="I185" s="35" t="s">
        <v>1448</v>
      </c>
      <c r="J185" s="26">
        <v>2.5</v>
      </c>
      <c r="K185" s="26">
        <v>2</v>
      </c>
      <c r="L185" s="26">
        <v>113.3</v>
      </c>
      <c r="M185">
        <v>260.8</v>
      </c>
      <c r="N185" s="67">
        <f t="shared" si="2"/>
        <v>11695.067264573991</v>
      </c>
    </row>
    <row r="186" spans="1:14" x14ac:dyDescent="0.25">
      <c r="A186" t="s">
        <v>630</v>
      </c>
      <c r="B186" s="34" t="s">
        <v>1556</v>
      </c>
      <c r="C186" s="35" t="s">
        <v>1557</v>
      </c>
      <c r="D186" s="35" t="s">
        <v>1558</v>
      </c>
      <c r="E186" s="35" t="s">
        <v>1559</v>
      </c>
      <c r="F186" s="36" t="s">
        <v>48</v>
      </c>
      <c r="G186" s="36" t="s">
        <v>894</v>
      </c>
      <c r="H186" s="42" t="s">
        <v>895</v>
      </c>
      <c r="I186" s="35" t="s">
        <v>1271</v>
      </c>
      <c r="J186" s="26">
        <v>1.5</v>
      </c>
      <c r="K186" s="26">
        <v>1.5</v>
      </c>
      <c r="L186" s="26">
        <v>43.3</v>
      </c>
      <c r="M186">
        <v>101</v>
      </c>
      <c r="N186" s="67">
        <f t="shared" si="2"/>
        <v>4529.1479820627801</v>
      </c>
    </row>
    <row r="187" spans="1:14" x14ac:dyDescent="0.25">
      <c r="A187" t="s">
        <v>630</v>
      </c>
      <c r="B187" s="34" t="s">
        <v>1560</v>
      </c>
      <c r="C187" s="35" t="s">
        <v>1561</v>
      </c>
      <c r="D187" s="35" t="s">
        <v>1562</v>
      </c>
      <c r="E187" s="35" t="s">
        <v>1559</v>
      </c>
      <c r="F187" s="36" t="s">
        <v>48</v>
      </c>
      <c r="G187" s="36" t="s">
        <v>894</v>
      </c>
      <c r="H187" s="42" t="s">
        <v>895</v>
      </c>
      <c r="I187" s="35" t="s">
        <v>1271</v>
      </c>
      <c r="J187" s="26">
        <v>1.5</v>
      </c>
      <c r="K187" s="26">
        <v>1.5</v>
      </c>
      <c r="L187" s="26">
        <v>43.3</v>
      </c>
      <c r="M187">
        <v>101</v>
      </c>
      <c r="N187" s="67">
        <f t="shared" si="2"/>
        <v>4529.1479820627801</v>
      </c>
    </row>
    <row r="188" spans="1:14" x14ac:dyDescent="0.25">
      <c r="A188" t="s">
        <v>630</v>
      </c>
      <c r="B188" s="34" t="s">
        <v>1563</v>
      </c>
      <c r="C188" s="35" t="s">
        <v>1564</v>
      </c>
      <c r="D188" s="35" t="s">
        <v>1565</v>
      </c>
      <c r="E188" s="35" t="s">
        <v>1559</v>
      </c>
      <c r="F188" s="36" t="s">
        <v>48</v>
      </c>
      <c r="G188" s="36" t="s">
        <v>894</v>
      </c>
      <c r="H188" s="42" t="s">
        <v>895</v>
      </c>
      <c r="I188" s="35" t="s">
        <v>1271</v>
      </c>
      <c r="J188" s="26">
        <v>1.5</v>
      </c>
      <c r="K188" s="26">
        <v>1.5</v>
      </c>
      <c r="L188" s="26">
        <v>43.3</v>
      </c>
      <c r="M188">
        <v>101</v>
      </c>
      <c r="N188" s="67">
        <f t="shared" si="2"/>
        <v>4529.1479820627801</v>
      </c>
    </row>
    <row r="189" spans="1:14" x14ac:dyDescent="0.25">
      <c r="A189" t="s">
        <v>646</v>
      </c>
      <c r="B189" s="34" t="s">
        <v>1566</v>
      </c>
      <c r="C189" s="35" t="s">
        <v>1567</v>
      </c>
      <c r="D189" s="35" t="s">
        <v>1568</v>
      </c>
      <c r="E189" s="35" t="s">
        <v>1569</v>
      </c>
      <c r="F189" s="36" t="s">
        <v>48</v>
      </c>
      <c r="G189" s="36" t="s">
        <v>894</v>
      </c>
      <c r="H189" s="42" t="s">
        <v>895</v>
      </c>
      <c r="I189" s="35" t="s">
        <v>1042</v>
      </c>
      <c r="J189" s="26">
        <v>1.5</v>
      </c>
      <c r="K189" s="26">
        <v>1</v>
      </c>
      <c r="L189" s="26">
        <v>26</v>
      </c>
      <c r="M189">
        <v>58.2</v>
      </c>
      <c r="N189" s="67">
        <f t="shared" si="2"/>
        <v>2609.865470852018</v>
      </c>
    </row>
    <row r="190" spans="1:14" x14ac:dyDescent="0.25">
      <c r="A190" t="s">
        <v>646</v>
      </c>
      <c r="B190" s="34" t="s">
        <v>1570</v>
      </c>
      <c r="C190" s="35" t="s">
        <v>1571</v>
      </c>
      <c r="D190" s="35" t="s">
        <v>1572</v>
      </c>
      <c r="E190" s="35" t="s">
        <v>657</v>
      </c>
      <c r="F190" s="36" t="s">
        <v>270</v>
      </c>
      <c r="G190" s="36" t="s">
        <v>901</v>
      </c>
      <c r="H190" s="42" t="s">
        <v>902</v>
      </c>
      <c r="I190" s="35" t="s">
        <v>1573</v>
      </c>
      <c r="J190" s="26">
        <v>2.5</v>
      </c>
      <c r="K190" s="26">
        <v>1.75</v>
      </c>
      <c r="L190" s="26">
        <v>91.7</v>
      </c>
      <c r="M190">
        <v>204.5</v>
      </c>
      <c r="N190" s="67">
        <f t="shared" si="2"/>
        <v>9170.4035874439451</v>
      </c>
    </row>
    <row r="191" spans="1:14" x14ac:dyDescent="0.25">
      <c r="A191" t="s">
        <v>646</v>
      </c>
      <c r="B191" s="34" t="s">
        <v>1574</v>
      </c>
      <c r="C191" s="35" t="s">
        <v>1575</v>
      </c>
      <c r="D191" s="35" t="s">
        <v>1576</v>
      </c>
      <c r="E191" s="35" t="s">
        <v>657</v>
      </c>
      <c r="F191" s="36" t="s">
        <v>270</v>
      </c>
      <c r="G191" s="36" t="s">
        <v>901</v>
      </c>
      <c r="H191" s="42" t="s">
        <v>902</v>
      </c>
      <c r="I191" s="35" t="s">
        <v>1573</v>
      </c>
      <c r="J191" s="26">
        <v>2.5</v>
      </c>
      <c r="K191" s="26">
        <v>1.75</v>
      </c>
      <c r="L191" s="26">
        <v>91.7</v>
      </c>
      <c r="M191">
        <v>204.5</v>
      </c>
      <c r="N191" s="67">
        <f t="shared" si="2"/>
        <v>9170.4035874439451</v>
      </c>
    </row>
    <row r="192" spans="1:14" x14ac:dyDescent="0.25">
      <c r="A192" t="s">
        <v>646</v>
      </c>
      <c r="B192" s="34" t="s">
        <v>1577</v>
      </c>
      <c r="C192" s="35" t="s">
        <v>1578</v>
      </c>
      <c r="D192" s="35" t="s">
        <v>1579</v>
      </c>
      <c r="E192" s="35" t="s">
        <v>657</v>
      </c>
      <c r="F192" s="36" t="s">
        <v>203</v>
      </c>
      <c r="G192" s="36" t="s">
        <v>922</v>
      </c>
      <c r="H192" s="42" t="s">
        <v>895</v>
      </c>
      <c r="I192" s="35" t="s">
        <v>942</v>
      </c>
      <c r="J192" s="26">
        <v>1.5</v>
      </c>
      <c r="K192" s="26">
        <v>1.75</v>
      </c>
      <c r="L192" s="26">
        <v>53.7</v>
      </c>
      <c r="M192">
        <v>126.7</v>
      </c>
      <c r="N192" s="67">
        <f t="shared" si="2"/>
        <v>5681.6143497757848</v>
      </c>
    </row>
    <row r="193" spans="1:14" x14ac:dyDescent="0.25">
      <c r="A193" t="s">
        <v>664</v>
      </c>
      <c r="B193" s="34" t="s">
        <v>1580</v>
      </c>
      <c r="C193" s="35" t="s">
        <v>1581</v>
      </c>
      <c r="D193" s="35" t="s">
        <v>1582</v>
      </c>
      <c r="E193" s="35" t="s">
        <v>675</v>
      </c>
      <c r="F193" s="36" t="s">
        <v>270</v>
      </c>
      <c r="G193" s="36" t="s">
        <v>901</v>
      </c>
      <c r="H193" s="42" t="s">
        <v>902</v>
      </c>
      <c r="I193" s="35" t="s">
        <v>1583</v>
      </c>
      <c r="J193" s="26">
        <v>2.5</v>
      </c>
      <c r="K193" s="26">
        <v>2.5</v>
      </c>
      <c r="L193" s="26">
        <v>143.6</v>
      </c>
      <c r="M193">
        <v>334</v>
      </c>
      <c r="N193" s="67">
        <f t="shared" si="2"/>
        <v>14977.578475336322</v>
      </c>
    </row>
    <row r="194" spans="1:14" x14ac:dyDescent="0.25">
      <c r="A194" t="s">
        <v>664</v>
      </c>
      <c r="B194" s="34" t="s">
        <v>1584</v>
      </c>
      <c r="C194" s="35" t="s">
        <v>1585</v>
      </c>
      <c r="D194" s="35" t="s">
        <v>1582</v>
      </c>
      <c r="E194" s="35" t="s">
        <v>675</v>
      </c>
      <c r="F194" s="36" t="s">
        <v>270</v>
      </c>
      <c r="G194" s="36" t="s">
        <v>901</v>
      </c>
      <c r="H194" s="42" t="s">
        <v>902</v>
      </c>
      <c r="I194" s="35" t="s">
        <v>1583</v>
      </c>
      <c r="J194" s="26">
        <v>2.5</v>
      </c>
      <c r="K194" s="26">
        <v>2.5</v>
      </c>
      <c r="L194" s="26">
        <v>143.6</v>
      </c>
      <c r="M194">
        <v>334</v>
      </c>
      <c r="N194" s="67">
        <f t="shared" ref="N194:N257" si="3">(40000/892)*M194</f>
        <v>14977.578475336322</v>
      </c>
    </row>
    <row r="195" spans="1:14" x14ac:dyDescent="0.25">
      <c r="A195" t="s">
        <v>664</v>
      </c>
      <c r="B195" s="34" t="s">
        <v>1586</v>
      </c>
      <c r="C195" s="35" t="s">
        <v>1587</v>
      </c>
      <c r="D195" s="35" t="s">
        <v>1588</v>
      </c>
      <c r="E195" s="35" t="s">
        <v>675</v>
      </c>
      <c r="F195" s="36" t="s">
        <v>270</v>
      </c>
      <c r="G195" s="36" t="s">
        <v>901</v>
      </c>
      <c r="H195" s="42" t="s">
        <v>902</v>
      </c>
      <c r="I195" s="35" t="s">
        <v>1589</v>
      </c>
      <c r="J195" s="26">
        <v>2.5</v>
      </c>
      <c r="K195" s="26">
        <v>2.75</v>
      </c>
      <c r="L195" s="26">
        <v>163.80000000000001</v>
      </c>
      <c r="M195">
        <v>387.8</v>
      </c>
      <c r="N195" s="67">
        <f t="shared" si="3"/>
        <v>17390.134529147981</v>
      </c>
    </row>
    <row r="196" spans="1:14" x14ac:dyDescent="0.25">
      <c r="A196" t="s">
        <v>664</v>
      </c>
      <c r="B196" s="34" t="s">
        <v>1590</v>
      </c>
      <c r="C196" s="35" t="s">
        <v>1591</v>
      </c>
      <c r="D196" s="35" t="s">
        <v>1592</v>
      </c>
      <c r="E196" s="35" t="s">
        <v>675</v>
      </c>
      <c r="F196" s="36" t="s">
        <v>270</v>
      </c>
      <c r="G196" s="36" t="s">
        <v>901</v>
      </c>
      <c r="H196" s="42" t="s">
        <v>902</v>
      </c>
      <c r="I196" s="35" t="s">
        <v>1593</v>
      </c>
      <c r="J196" s="26">
        <v>2.5</v>
      </c>
      <c r="K196" s="26">
        <v>2.75</v>
      </c>
      <c r="L196" s="26">
        <v>156.6</v>
      </c>
      <c r="M196">
        <v>360.4</v>
      </c>
      <c r="N196" s="67">
        <f t="shared" si="3"/>
        <v>16161.434977578474</v>
      </c>
    </row>
    <row r="197" spans="1:14" x14ac:dyDescent="0.25">
      <c r="A197" t="s">
        <v>664</v>
      </c>
      <c r="B197" s="34" t="s">
        <v>1594</v>
      </c>
      <c r="C197" s="35" t="s">
        <v>1595</v>
      </c>
      <c r="D197" s="35" t="s">
        <v>1596</v>
      </c>
      <c r="E197" s="35" t="s">
        <v>675</v>
      </c>
      <c r="F197" s="36" t="s">
        <v>270</v>
      </c>
      <c r="G197" s="36" t="s">
        <v>901</v>
      </c>
      <c r="H197" s="42" t="s">
        <v>902</v>
      </c>
      <c r="I197" s="35" t="s">
        <v>1597</v>
      </c>
      <c r="J197" s="26">
        <v>2.5</v>
      </c>
      <c r="K197" s="26">
        <v>2.25</v>
      </c>
      <c r="L197" s="26">
        <v>126.3</v>
      </c>
      <c r="M197">
        <v>290</v>
      </c>
      <c r="N197" s="67">
        <f t="shared" si="3"/>
        <v>13004.484304932736</v>
      </c>
    </row>
    <row r="198" spans="1:14" x14ac:dyDescent="0.25">
      <c r="A198" t="s">
        <v>683</v>
      </c>
      <c r="B198" s="34" t="s">
        <v>1598</v>
      </c>
      <c r="C198" s="35" t="s">
        <v>1599</v>
      </c>
      <c r="D198" s="35" t="s">
        <v>1600</v>
      </c>
      <c r="E198" s="35" t="s">
        <v>1601</v>
      </c>
      <c r="F198" s="36" t="s">
        <v>48</v>
      </c>
      <c r="G198" s="36" t="s">
        <v>894</v>
      </c>
      <c r="H198" s="42" t="s">
        <v>895</v>
      </c>
      <c r="I198" s="35" t="s">
        <v>1602</v>
      </c>
      <c r="J198" s="26">
        <v>1.5</v>
      </c>
      <c r="K198" s="26">
        <v>1.75</v>
      </c>
      <c r="L198" s="26">
        <v>51.1</v>
      </c>
      <c r="M198">
        <v>118.5</v>
      </c>
      <c r="N198" s="67">
        <f t="shared" si="3"/>
        <v>5313.9013452914796</v>
      </c>
    </row>
    <row r="199" spans="1:14" x14ac:dyDescent="0.25">
      <c r="A199" t="s">
        <v>683</v>
      </c>
      <c r="B199" s="34" t="s">
        <v>1603</v>
      </c>
      <c r="C199" s="35" t="s">
        <v>1604</v>
      </c>
      <c r="D199" s="35" t="s">
        <v>1605</v>
      </c>
      <c r="E199" s="35" t="s">
        <v>1601</v>
      </c>
      <c r="F199" s="36" t="s">
        <v>48</v>
      </c>
      <c r="G199" s="36" t="s">
        <v>894</v>
      </c>
      <c r="H199" s="42" t="s">
        <v>895</v>
      </c>
      <c r="I199" s="35" t="s">
        <v>1271</v>
      </c>
      <c r="J199" s="26">
        <v>1.5</v>
      </c>
      <c r="K199" s="26">
        <v>1.5</v>
      </c>
      <c r="L199" s="26">
        <v>43.3</v>
      </c>
      <c r="M199">
        <v>101</v>
      </c>
      <c r="N199" s="67">
        <f t="shared" si="3"/>
        <v>4529.1479820627801</v>
      </c>
    </row>
    <row r="200" spans="1:14" x14ac:dyDescent="0.25">
      <c r="A200" t="s">
        <v>683</v>
      </c>
      <c r="B200" s="34" t="s">
        <v>1606</v>
      </c>
      <c r="C200" s="35" t="s">
        <v>1607</v>
      </c>
      <c r="D200" s="35" t="s">
        <v>1608</v>
      </c>
      <c r="E200" s="35" t="s">
        <v>1609</v>
      </c>
      <c r="F200" s="36" t="s">
        <v>270</v>
      </c>
      <c r="G200" s="36" t="s">
        <v>901</v>
      </c>
      <c r="H200" s="42" t="s">
        <v>917</v>
      </c>
      <c r="I200" s="35" t="s">
        <v>1050</v>
      </c>
      <c r="J200" s="26">
        <v>4</v>
      </c>
      <c r="K200" s="26">
        <v>2.25</v>
      </c>
      <c r="L200" s="26">
        <v>196.3</v>
      </c>
      <c r="M200">
        <v>452</v>
      </c>
      <c r="N200" s="67">
        <f t="shared" si="3"/>
        <v>20269.058295964125</v>
      </c>
    </row>
    <row r="201" spans="1:14" x14ac:dyDescent="0.25">
      <c r="A201" t="s">
        <v>683</v>
      </c>
      <c r="B201" s="34" t="s">
        <v>1610</v>
      </c>
      <c r="C201" s="35" t="s">
        <v>1611</v>
      </c>
      <c r="D201" s="35" t="s">
        <v>1608</v>
      </c>
      <c r="E201" s="35" t="s">
        <v>1609</v>
      </c>
      <c r="F201" s="36" t="s">
        <v>270</v>
      </c>
      <c r="G201" s="36" t="s">
        <v>901</v>
      </c>
      <c r="H201" s="42" t="s">
        <v>917</v>
      </c>
      <c r="I201" s="35" t="s">
        <v>1106</v>
      </c>
      <c r="J201" s="26">
        <v>4</v>
      </c>
      <c r="K201" s="26">
        <v>2.75</v>
      </c>
      <c r="L201" s="26">
        <v>249.4</v>
      </c>
      <c r="M201">
        <v>579</v>
      </c>
      <c r="N201" s="67">
        <f t="shared" si="3"/>
        <v>25964.125560538116</v>
      </c>
    </row>
    <row r="202" spans="1:14" x14ac:dyDescent="0.25">
      <c r="A202" t="s">
        <v>683</v>
      </c>
      <c r="B202" s="34" t="s">
        <v>1612</v>
      </c>
      <c r="C202" s="35" t="s">
        <v>1613</v>
      </c>
      <c r="D202" s="35" t="s">
        <v>1600</v>
      </c>
      <c r="E202" s="35" t="s">
        <v>1601</v>
      </c>
      <c r="F202" s="36" t="s">
        <v>48</v>
      </c>
      <c r="G202" s="36" t="s">
        <v>894</v>
      </c>
      <c r="H202" s="42" t="s">
        <v>895</v>
      </c>
      <c r="I202" s="35" t="s">
        <v>1271</v>
      </c>
      <c r="J202" s="26">
        <v>1.5</v>
      </c>
      <c r="K202" s="26">
        <v>1.5</v>
      </c>
      <c r="L202" s="26">
        <v>43.3</v>
      </c>
      <c r="M202">
        <v>101</v>
      </c>
      <c r="N202" s="67">
        <f t="shared" si="3"/>
        <v>4529.1479820627801</v>
      </c>
    </row>
    <row r="203" spans="1:14" x14ac:dyDescent="0.25">
      <c r="A203" t="s">
        <v>683</v>
      </c>
      <c r="B203" s="34" t="s">
        <v>1614</v>
      </c>
      <c r="C203" s="35" t="s">
        <v>1615</v>
      </c>
      <c r="D203" s="35" t="s">
        <v>1616</v>
      </c>
      <c r="E203" s="35" t="s">
        <v>1601</v>
      </c>
      <c r="F203" s="36" t="s">
        <v>48</v>
      </c>
      <c r="G203" s="36" t="s">
        <v>894</v>
      </c>
      <c r="H203" s="42" t="s">
        <v>895</v>
      </c>
      <c r="I203" s="35" t="s">
        <v>1271</v>
      </c>
      <c r="J203" s="26">
        <v>1.5</v>
      </c>
      <c r="K203" s="26">
        <v>1.5</v>
      </c>
      <c r="L203" s="26">
        <v>43.3</v>
      </c>
      <c r="M203">
        <v>101</v>
      </c>
      <c r="N203" s="67">
        <f t="shared" si="3"/>
        <v>4529.1479820627801</v>
      </c>
    </row>
    <row r="204" spans="1:14" x14ac:dyDescent="0.25">
      <c r="A204" t="s">
        <v>703</v>
      </c>
      <c r="B204" s="34" t="s">
        <v>1617</v>
      </c>
      <c r="C204" s="35"/>
      <c r="D204" s="35"/>
      <c r="E204" s="35" t="s">
        <v>714</v>
      </c>
      <c r="F204" s="36" t="s">
        <v>1164</v>
      </c>
      <c r="G204" s="36" t="s">
        <v>1618</v>
      </c>
      <c r="H204" s="42" t="s">
        <v>902</v>
      </c>
      <c r="I204" s="35" t="s">
        <v>1619</v>
      </c>
      <c r="J204" s="26">
        <v>2.5</v>
      </c>
      <c r="K204" s="26">
        <v>1</v>
      </c>
      <c r="L204" s="26">
        <v>47.6</v>
      </c>
      <c r="M204">
        <v>106.8</v>
      </c>
      <c r="N204" s="67">
        <f t="shared" si="3"/>
        <v>4789.2376681614351</v>
      </c>
    </row>
    <row r="205" spans="1:14" x14ac:dyDescent="0.25">
      <c r="A205" t="s">
        <v>723</v>
      </c>
      <c r="B205" s="34" t="s">
        <v>1620</v>
      </c>
      <c r="C205" s="35" t="s">
        <v>1621</v>
      </c>
      <c r="D205" s="35" t="s">
        <v>1622</v>
      </c>
      <c r="E205" s="35" t="s">
        <v>1623</v>
      </c>
      <c r="F205" s="36" t="s">
        <v>48</v>
      </c>
      <c r="G205" s="36" t="s">
        <v>894</v>
      </c>
      <c r="H205" s="42" t="s">
        <v>895</v>
      </c>
      <c r="I205" s="35" t="s">
        <v>1020</v>
      </c>
      <c r="J205" s="26">
        <v>1.5</v>
      </c>
      <c r="K205" s="26">
        <v>1.25</v>
      </c>
      <c r="L205" s="26">
        <v>33.299999999999997</v>
      </c>
      <c r="M205">
        <v>74.2</v>
      </c>
      <c r="N205" s="67">
        <f t="shared" si="3"/>
        <v>3327.3542600896862</v>
      </c>
    </row>
    <row r="206" spans="1:14" x14ac:dyDescent="0.25">
      <c r="A206" t="s">
        <v>723</v>
      </c>
      <c r="B206" s="34" t="s">
        <v>1624</v>
      </c>
      <c r="C206" s="35" t="s">
        <v>1625</v>
      </c>
      <c r="D206" s="35" t="s">
        <v>1626</v>
      </c>
      <c r="E206" s="35" t="s">
        <v>1623</v>
      </c>
      <c r="F206" s="36" t="s">
        <v>48</v>
      </c>
      <c r="G206" s="36" t="s">
        <v>894</v>
      </c>
      <c r="H206" s="42" t="s">
        <v>907</v>
      </c>
      <c r="I206" s="35" t="s">
        <v>1627</v>
      </c>
      <c r="J206" s="26">
        <v>3</v>
      </c>
      <c r="K206" s="26">
        <v>2.25</v>
      </c>
      <c r="L206" s="26">
        <v>146.4</v>
      </c>
      <c r="M206">
        <v>341.7</v>
      </c>
      <c r="N206" s="67">
        <f t="shared" si="3"/>
        <v>15322.86995515695</v>
      </c>
    </row>
    <row r="207" spans="1:14" x14ac:dyDescent="0.25">
      <c r="A207" t="s">
        <v>723</v>
      </c>
      <c r="B207" s="34" t="s">
        <v>1628</v>
      </c>
      <c r="C207" s="35" t="s">
        <v>1629</v>
      </c>
      <c r="D207" s="35" t="s">
        <v>1630</v>
      </c>
      <c r="E207" s="35" t="s">
        <v>1631</v>
      </c>
      <c r="F207" s="36" t="s">
        <v>270</v>
      </c>
      <c r="G207" s="36" t="s">
        <v>901</v>
      </c>
      <c r="H207" s="42" t="s">
        <v>1275</v>
      </c>
      <c r="I207" s="35" t="s">
        <v>1632</v>
      </c>
      <c r="J207" s="26">
        <v>5</v>
      </c>
      <c r="K207" s="26">
        <v>2.75</v>
      </c>
      <c r="L207" s="26">
        <v>334.9</v>
      </c>
      <c r="M207">
        <v>811.8</v>
      </c>
      <c r="N207" s="67">
        <f t="shared" si="3"/>
        <v>36403.587443946184</v>
      </c>
    </row>
    <row r="208" spans="1:14" x14ac:dyDescent="0.25">
      <c r="A208" t="s">
        <v>723</v>
      </c>
      <c r="B208" s="34" t="s">
        <v>1633</v>
      </c>
      <c r="C208" s="35" t="s">
        <v>1634</v>
      </c>
      <c r="D208" s="35" t="s">
        <v>1635</v>
      </c>
      <c r="E208" s="35" t="s">
        <v>1631</v>
      </c>
      <c r="F208" s="36" t="s">
        <v>270</v>
      </c>
      <c r="G208" s="36" t="s">
        <v>901</v>
      </c>
      <c r="H208" s="42" t="s">
        <v>917</v>
      </c>
      <c r="I208" s="35" t="s">
        <v>1636</v>
      </c>
      <c r="J208" s="26">
        <v>4</v>
      </c>
      <c r="K208" s="26">
        <v>3.25</v>
      </c>
      <c r="L208" s="26">
        <v>307.2</v>
      </c>
      <c r="M208">
        <v>717.1</v>
      </c>
      <c r="N208" s="67">
        <f t="shared" si="3"/>
        <v>32156.95067264574</v>
      </c>
    </row>
    <row r="209" spans="1:14" x14ac:dyDescent="0.25">
      <c r="A209" t="s">
        <v>723</v>
      </c>
      <c r="B209" s="34" t="s">
        <v>1637</v>
      </c>
      <c r="C209" s="35" t="s">
        <v>1638</v>
      </c>
      <c r="D209" s="35" t="s">
        <v>1639</v>
      </c>
      <c r="E209" s="35" t="s">
        <v>734</v>
      </c>
      <c r="F209" s="36" t="s">
        <v>203</v>
      </c>
      <c r="G209" s="36" t="s">
        <v>922</v>
      </c>
      <c r="H209" s="42" t="s">
        <v>1455</v>
      </c>
      <c r="I209" s="35" t="s">
        <v>1640</v>
      </c>
      <c r="J209" s="26">
        <v>8</v>
      </c>
      <c r="K209" s="26">
        <v>6.25</v>
      </c>
      <c r="L209" s="26">
        <v>1168.5999999999999</v>
      </c>
      <c r="M209">
        <v>2775.5</v>
      </c>
      <c r="N209" s="67">
        <f t="shared" si="3"/>
        <v>124461.88340807175</v>
      </c>
    </row>
    <row r="210" spans="1:14" x14ac:dyDescent="0.25">
      <c r="A210" t="s">
        <v>723</v>
      </c>
      <c r="B210" s="34" t="s">
        <v>1641</v>
      </c>
      <c r="C210" s="35" t="s">
        <v>1642</v>
      </c>
      <c r="D210" s="35" t="s">
        <v>1643</v>
      </c>
      <c r="E210" s="35" t="s">
        <v>734</v>
      </c>
      <c r="F210" s="36" t="s">
        <v>203</v>
      </c>
      <c r="G210" s="36" t="s">
        <v>922</v>
      </c>
      <c r="H210" s="42" t="s">
        <v>917</v>
      </c>
      <c r="I210" s="35" t="s">
        <v>1644</v>
      </c>
      <c r="J210" s="26">
        <v>4</v>
      </c>
      <c r="K210" s="26">
        <v>3</v>
      </c>
      <c r="L210" s="26">
        <v>286.39999999999998</v>
      </c>
      <c r="M210">
        <v>691</v>
      </c>
      <c r="N210" s="67">
        <f t="shared" si="3"/>
        <v>30986.547085201793</v>
      </c>
    </row>
    <row r="211" spans="1:14" x14ac:dyDescent="0.25">
      <c r="A211" t="s">
        <v>744</v>
      </c>
      <c r="B211" s="34" t="s">
        <v>1645</v>
      </c>
      <c r="C211" s="35" t="s">
        <v>1646</v>
      </c>
      <c r="D211" s="35" t="s">
        <v>1647</v>
      </c>
      <c r="E211" s="35" t="s">
        <v>1648</v>
      </c>
      <c r="F211" s="36" t="s">
        <v>48</v>
      </c>
      <c r="G211" s="36" t="s">
        <v>894</v>
      </c>
      <c r="H211" s="42" t="s">
        <v>895</v>
      </c>
      <c r="I211" s="35" t="s">
        <v>1042</v>
      </c>
      <c r="J211" s="26">
        <v>1.5</v>
      </c>
      <c r="K211" s="26">
        <v>1</v>
      </c>
      <c r="L211" s="26">
        <v>26</v>
      </c>
      <c r="M211">
        <v>58.2</v>
      </c>
      <c r="N211" s="67">
        <f t="shared" si="3"/>
        <v>2609.865470852018</v>
      </c>
    </row>
    <row r="212" spans="1:14" x14ac:dyDescent="0.25">
      <c r="A212" t="s">
        <v>744</v>
      </c>
      <c r="B212" s="34" t="s">
        <v>1649</v>
      </c>
      <c r="C212" s="35" t="s">
        <v>1650</v>
      </c>
      <c r="D212" s="35" t="s">
        <v>1651</v>
      </c>
      <c r="E212" s="35" t="s">
        <v>755</v>
      </c>
      <c r="F212" s="36" t="s">
        <v>270</v>
      </c>
      <c r="G212" s="36" t="s">
        <v>901</v>
      </c>
      <c r="H212" s="42" t="s">
        <v>902</v>
      </c>
      <c r="I212" s="35" t="s">
        <v>1398</v>
      </c>
      <c r="J212" s="26">
        <v>2.5</v>
      </c>
      <c r="K212" s="26">
        <v>2.25</v>
      </c>
      <c r="L212" s="26">
        <v>134.19999999999999</v>
      </c>
      <c r="M212">
        <v>313.5</v>
      </c>
      <c r="N212" s="67">
        <f t="shared" si="3"/>
        <v>14058.29596412556</v>
      </c>
    </row>
    <row r="213" spans="1:14" x14ac:dyDescent="0.25">
      <c r="A213" t="s">
        <v>744</v>
      </c>
      <c r="B213" s="34" t="s">
        <v>1652</v>
      </c>
      <c r="C213" s="35" t="s">
        <v>1653</v>
      </c>
      <c r="D213" s="35" t="s">
        <v>1654</v>
      </c>
      <c r="E213" s="35" t="s">
        <v>1648</v>
      </c>
      <c r="F213" s="36" t="s">
        <v>48</v>
      </c>
      <c r="G213" s="36" t="s">
        <v>894</v>
      </c>
      <c r="H213" s="42" t="s">
        <v>895</v>
      </c>
      <c r="I213" s="35" t="s">
        <v>1042</v>
      </c>
      <c r="J213" s="26">
        <v>1.5</v>
      </c>
      <c r="K213" s="26">
        <v>1</v>
      </c>
      <c r="L213" s="26">
        <v>26</v>
      </c>
      <c r="M213">
        <v>58.2</v>
      </c>
      <c r="N213" s="67">
        <f t="shared" si="3"/>
        <v>2609.865470852018</v>
      </c>
    </row>
    <row r="214" spans="1:14" x14ac:dyDescent="0.25">
      <c r="A214" t="s">
        <v>744</v>
      </c>
      <c r="B214" s="34" t="s">
        <v>1655</v>
      </c>
      <c r="C214" s="35" t="s">
        <v>1656</v>
      </c>
      <c r="D214" s="35" t="s">
        <v>1657</v>
      </c>
      <c r="E214" s="35" t="s">
        <v>755</v>
      </c>
      <c r="F214" s="36" t="s">
        <v>270</v>
      </c>
      <c r="G214" s="36" t="s">
        <v>901</v>
      </c>
      <c r="H214" s="42" t="s">
        <v>902</v>
      </c>
      <c r="I214" s="35" t="s">
        <v>1398</v>
      </c>
      <c r="J214" s="26">
        <v>2.5</v>
      </c>
      <c r="K214" s="26">
        <v>2.25</v>
      </c>
      <c r="L214" s="26">
        <v>134.19999999999999</v>
      </c>
      <c r="M214">
        <v>313.5</v>
      </c>
      <c r="N214" s="67">
        <f t="shared" si="3"/>
        <v>14058.29596412556</v>
      </c>
    </row>
    <row r="215" spans="1:14" x14ac:dyDescent="0.25">
      <c r="A215" t="s">
        <v>744</v>
      </c>
      <c r="B215" s="34" t="s">
        <v>1658</v>
      </c>
      <c r="C215" s="35" t="s">
        <v>1659</v>
      </c>
      <c r="D215" s="35" t="s">
        <v>1660</v>
      </c>
      <c r="E215" s="35" t="s">
        <v>755</v>
      </c>
      <c r="F215" s="36" t="s">
        <v>270</v>
      </c>
      <c r="G215" s="36" t="s">
        <v>901</v>
      </c>
      <c r="H215" s="42" t="s">
        <v>902</v>
      </c>
      <c r="I215" s="35" t="s">
        <v>1661</v>
      </c>
      <c r="J215" s="26">
        <v>2.5</v>
      </c>
      <c r="K215" s="26">
        <v>2.75</v>
      </c>
      <c r="L215" s="26">
        <v>166</v>
      </c>
      <c r="M215">
        <v>389.4</v>
      </c>
      <c r="N215" s="67">
        <f t="shared" si="3"/>
        <v>17461.883408071746</v>
      </c>
    </row>
    <row r="216" spans="1:14" x14ac:dyDescent="0.25">
      <c r="A216" t="s">
        <v>744</v>
      </c>
      <c r="B216" s="34" t="s">
        <v>1662</v>
      </c>
      <c r="C216" s="35" t="s">
        <v>1663</v>
      </c>
      <c r="D216" s="35" t="s">
        <v>1664</v>
      </c>
      <c r="E216" s="35" t="s">
        <v>755</v>
      </c>
      <c r="F216" s="36" t="s">
        <v>203</v>
      </c>
      <c r="G216" s="36" t="s">
        <v>922</v>
      </c>
      <c r="H216" s="42" t="s">
        <v>895</v>
      </c>
      <c r="I216" s="35" t="s">
        <v>942</v>
      </c>
      <c r="J216" s="26">
        <v>1.5</v>
      </c>
      <c r="K216" s="26">
        <v>1.75</v>
      </c>
      <c r="L216" s="26">
        <v>53.7</v>
      </c>
      <c r="M216">
        <v>126.7</v>
      </c>
      <c r="N216" s="67">
        <f t="shared" si="3"/>
        <v>5681.6143497757848</v>
      </c>
    </row>
    <row r="217" spans="1:14" x14ac:dyDescent="0.25">
      <c r="A217" t="s">
        <v>767</v>
      </c>
      <c r="B217" s="34" t="s">
        <v>1665</v>
      </c>
      <c r="C217" s="35" t="s">
        <v>1666</v>
      </c>
      <c r="D217" s="35" t="s">
        <v>1667</v>
      </c>
      <c r="E217" s="35" t="s">
        <v>1668</v>
      </c>
      <c r="F217" s="36" t="s">
        <v>48</v>
      </c>
      <c r="G217" s="36" t="s">
        <v>894</v>
      </c>
      <c r="H217" s="42" t="s">
        <v>895</v>
      </c>
      <c r="I217" s="35" t="s">
        <v>1042</v>
      </c>
      <c r="J217" s="26">
        <v>1.5</v>
      </c>
      <c r="K217" s="26">
        <v>1</v>
      </c>
      <c r="L217" s="26">
        <v>26</v>
      </c>
      <c r="M217">
        <v>58.2</v>
      </c>
      <c r="N217" s="67">
        <f t="shared" si="3"/>
        <v>2609.865470852018</v>
      </c>
    </row>
    <row r="218" spans="1:14" x14ac:dyDescent="0.25">
      <c r="A218" t="s">
        <v>767</v>
      </c>
      <c r="B218" s="34" t="s">
        <v>1669</v>
      </c>
      <c r="C218" s="35" t="s">
        <v>1670</v>
      </c>
      <c r="D218" s="35" t="s">
        <v>1671</v>
      </c>
      <c r="E218" s="35" t="s">
        <v>1672</v>
      </c>
      <c r="F218" s="36" t="s">
        <v>270</v>
      </c>
      <c r="G218" s="36" t="s">
        <v>901</v>
      </c>
      <c r="H218" s="42" t="s">
        <v>902</v>
      </c>
      <c r="I218" s="35" t="s">
        <v>986</v>
      </c>
      <c r="J218" s="26">
        <v>2.5</v>
      </c>
      <c r="K218" s="26">
        <v>1.25</v>
      </c>
      <c r="L218" s="26">
        <v>66.400000000000006</v>
      </c>
      <c r="M218">
        <v>148.69999999999999</v>
      </c>
      <c r="N218" s="67">
        <f t="shared" si="3"/>
        <v>6668.1614349775773</v>
      </c>
    </row>
    <row r="219" spans="1:14" x14ac:dyDescent="0.25">
      <c r="A219" t="s">
        <v>767</v>
      </c>
      <c r="B219" s="34" t="s">
        <v>1673</v>
      </c>
      <c r="C219" s="35" t="s">
        <v>1674</v>
      </c>
      <c r="D219" s="35" t="s">
        <v>1675</v>
      </c>
      <c r="E219" s="35" t="s">
        <v>1668</v>
      </c>
      <c r="F219" s="36" t="s">
        <v>48</v>
      </c>
      <c r="G219" s="36" t="s">
        <v>894</v>
      </c>
      <c r="H219" s="42" t="s">
        <v>895</v>
      </c>
      <c r="I219" s="35" t="s">
        <v>1042</v>
      </c>
      <c r="J219" s="26">
        <v>1.5</v>
      </c>
      <c r="K219" s="26">
        <v>1</v>
      </c>
      <c r="L219" s="26">
        <v>26</v>
      </c>
      <c r="M219">
        <v>58.2</v>
      </c>
      <c r="N219" s="67">
        <f t="shared" si="3"/>
        <v>2609.865470852018</v>
      </c>
    </row>
    <row r="220" spans="1:14" x14ac:dyDescent="0.25">
      <c r="A220" t="s">
        <v>767</v>
      </c>
      <c r="B220" s="34" t="s">
        <v>1676</v>
      </c>
      <c r="C220" s="35" t="s">
        <v>1677</v>
      </c>
      <c r="D220" s="35" t="s">
        <v>1678</v>
      </c>
      <c r="E220" s="35" t="s">
        <v>1672</v>
      </c>
      <c r="F220" s="36" t="s">
        <v>270</v>
      </c>
      <c r="G220" s="36" t="s">
        <v>901</v>
      </c>
      <c r="H220" s="42" t="s">
        <v>917</v>
      </c>
      <c r="I220" s="35" t="s">
        <v>1168</v>
      </c>
      <c r="J220" s="26">
        <v>4</v>
      </c>
      <c r="K220" s="26">
        <v>1.75</v>
      </c>
      <c r="L220" s="26">
        <v>154.69999999999999</v>
      </c>
      <c r="M220">
        <v>358.7</v>
      </c>
      <c r="N220" s="67">
        <f t="shared" si="3"/>
        <v>16085.201793721972</v>
      </c>
    </row>
    <row r="221" spans="1:14" x14ac:dyDescent="0.25">
      <c r="A221" t="s">
        <v>767</v>
      </c>
      <c r="B221" s="34" t="s">
        <v>1679</v>
      </c>
      <c r="C221" s="35" t="s">
        <v>1680</v>
      </c>
      <c r="D221" s="35" t="s">
        <v>1681</v>
      </c>
      <c r="E221" s="35" t="s">
        <v>1672</v>
      </c>
      <c r="F221" s="36" t="s">
        <v>270</v>
      </c>
      <c r="G221" s="36" t="s">
        <v>901</v>
      </c>
      <c r="H221" s="42" t="s">
        <v>902</v>
      </c>
      <c r="I221" s="35" t="s">
        <v>1428</v>
      </c>
      <c r="J221" s="26">
        <v>2.5</v>
      </c>
      <c r="K221" s="26">
        <v>1.75</v>
      </c>
      <c r="L221" s="26">
        <v>101</v>
      </c>
      <c r="M221">
        <v>234.1</v>
      </c>
      <c r="N221" s="67">
        <f t="shared" si="3"/>
        <v>10497.757847533632</v>
      </c>
    </row>
    <row r="222" spans="1:14" x14ac:dyDescent="0.25">
      <c r="A222" t="s">
        <v>767</v>
      </c>
      <c r="B222" s="34" t="s">
        <v>1682</v>
      </c>
      <c r="C222" s="35" t="s">
        <v>1683</v>
      </c>
      <c r="D222" s="35" t="s">
        <v>1684</v>
      </c>
      <c r="E222" s="35" t="s">
        <v>1672</v>
      </c>
      <c r="F222" s="36" t="s">
        <v>270</v>
      </c>
      <c r="G222" s="36" t="s">
        <v>901</v>
      </c>
      <c r="H222" s="42" t="s">
        <v>902</v>
      </c>
      <c r="I222" s="35" t="s">
        <v>986</v>
      </c>
      <c r="J222" s="26">
        <v>2.5</v>
      </c>
      <c r="K222" s="26">
        <v>1.25</v>
      </c>
      <c r="L222" s="26">
        <v>66.400000000000006</v>
      </c>
      <c r="M222">
        <v>148.69999999999999</v>
      </c>
      <c r="N222" s="67">
        <f t="shared" si="3"/>
        <v>6668.1614349775773</v>
      </c>
    </row>
    <row r="223" spans="1:14" x14ac:dyDescent="0.25">
      <c r="A223" t="s">
        <v>787</v>
      </c>
      <c r="B223" s="34" t="s">
        <v>1685</v>
      </c>
      <c r="C223" s="35" t="s">
        <v>1686</v>
      </c>
      <c r="D223" s="35" t="s">
        <v>1687</v>
      </c>
      <c r="E223" s="35" t="s">
        <v>1688</v>
      </c>
      <c r="F223" s="36" t="s">
        <v>48</v>
      </c>
      <c r="G223" s="36" t="s">
        <v>894</v>
      </c>
      <c r="H223" s="42" t="s">
        <v>895</v>
      </c>
      <c r="I223" s="35" t="s">
        <v>896</v>
      </c>
      <c r="J223" s="26">
        <v>1.5</v>
      </c>
      <c r="K223" s="26">
        <v>1.75</v>
      </c>
      <c r="L223" s="26">
        <v>50.7</v>
      </c>
      <c r="M223">
        <v>117</v>
      </c>
      <c r="N223" s="67">
        <f t="shared" si="3"/>
        <v>5246.6367713004483</v>
      </c>
    </row>
    <row r="224" spans="1:14" x14ac:dyDescent="0.25">
      <c r="A224" t="s">
        <v>787</v>
      </c>
      <c r="B224" s="34" t="s">
        <v>1689</v>
      </c>
      <c r="C224" s="35" t="s">
        <v>1690</v>
      </c>
      <c r="D224" s="35" t="s">
        <v>1691</v>
      </c>
      <c r="E224" s="35" t="s">
        <v>1688</v>
      </c>
      <c r="F224" s="36" t="s">
        <v>48</v>
      </c>
      <c r="G224" s="36" t="s">
        <v>894</v>
      </c>
      <c r="H224" s="42" t="s">
        <v>895</v>
      </c>
      <c r="I224" s="35" t="s">
        <v>896</v>
      </c>
      <c r="J224" s="26">
        <v>1.5</v>
      </c>
      <c r="K224" s="26">
        <v>1.75</v>
      </c>
      <c r="L224" s="26">
        <v>50.7</v>
      </c>
      <c r="M224">
        <v>117</v>
      </c>
      <c r="N224" s="67">
        <f t="shared" si="3"/>
        <v>5246.6367713004483</v>
      </c>
    </row>
    <row r="225" spans="1:14" x14ac:dyDescent="0.25">
      <c r="A225" t="s">
        <v>787</v>
      </c>
      <c r="B225" s="34" t="s">
        <v>1692</v>
      </c>
      <c r="C225" s="35" t="s">
        <v>1693</v>
      </c>
      <c r="D225" s="35" t="s">
        <v>1694</v>
      </c>
      <c r="E225" s="35" t="s">
        <v>1688</v>
      </c>
      <c r="F225" s="36" t="s">
        <v>48</v>
      </c>
      <c r="G225" s="36" t="s">
        <v>894</v>
      </c>
      <c r="H225" s="42" t="s">
        <v>895</v>
      </c>
      <c r="I225" s="35" t="s">
        <v>896</v>
      </c>
      <c r="J225" s="26">
        <v>1.5</v>
      </c>
      <c r="K225" s="26">
        <v>1.75</v>
      </c>
      <c r="L225" s="26">
        <v>50.7</v>
      </c>
      <c r="M225">
        <v>117</v>
      </c>
      <c r="N225" s="67">
        <f t="shared" si="3"/>
        <v>5246.6367713004483</v>
      </c>
    </row>
    <row r="226" spans="1:14" x14ac:dyDescent="0.25">
      <c r="A226" t="s">
        <v>787</v>
      </c>
      <c r="B226" s="34" t="s">
        <v>1695</v>
      </c>
      <c r="C226" s="35" t="s">
        <v>1696</v>
      </c>
      <c r="D226" s="35" t="s">
        <v>1697</v>
      </c>
      <c r="E226" s="35" t="s">
        <v>1698</v>
      </c>
      <c r="F226" s="36" t="s">
        <v>270</v>
      </c>
      <c r="G226" s="36" t="s">
        <v>901</v>
      </c>
      <c r="H226" s="42" t="s">
        <v>902</v>
      </c>
      <c r="I226" s="35" t="s">
        <v>986</v>
      </c>
      <c r="J226" s="26">
        <v>2.5</v>
      </c>
      <c r="K226" s="26">
        <v>1.25</v>
      </c>
      <c r="L226" s="26">
        <v>66.400000000000006</v>
      </c>
      <c r="M226">
        <v>148.69999999999999</v>
      </c>
      <c r="N226" s="67">
        <f t="shared" si="3"/>
        <v>6668.1614349775773</v>
      </c>
    </row>
    <row r="227" spans="1:14" x14ac:dyDescent="0.25">
      <c r="A227" t="s">
        <v>787</v>
      </c>
      <c r="B227" s="34" t="s">
        <v>1699</v>
      </c>
      <c r="C227" s="35" t="s">
        <v>1700</v>
      </c>
      <c r="D227" s="35" t="s">
        <v>1701</v>
      </c>
      <c r="E227" s="35" t="s">
        <v>1698</v>
      </c>
      <c r="F227" s="36" t="s">
        <v>270</v>
      </c>
      <c r="G227" s="36" t="s">
        <v>901</v>
      </c>
      <c r="H227" s="42" t="s">
        <v>902</v>
      </c>
      <c r="I227" s="35" t="s">
        <v>986</v>
      </c>
      <c r="J227" s="26">
        <v>2.5</v>
      </c>
      <c r="K227" s="26">
        <v>1.25</v>
      </c>
      <c r="L227" s="26">
        <v>66.400000000000006</v>
      </c>
      <c r="M227">
        <v>148.69999999999999</v>
      </c>
      <c r="N227" s="67">
        <f t="shared" si="3"/>
        <v>6668.1614349775773</v>
      </c>
    </row>
    <row r="228" spans="1:14" x14ac:dyDescent="0.25">
      <c r="A228" t="s">
        <v>787</v>
      </c>
      <c r="B228" s="34" t="s">
        <v>1702</v>
      </c>
      <c r="C228" s="35" t="s">
        <v>1703</v>
      </c>
      <c r="D228" s="35" t="s">
        <v>1704</v>
      </c>
      <c r="E228" s="35" t="s">
        <v>799</v>
      </c>
      <c r="F228" s="36" t="s">
        <v>203</v>
      </c>
      <c r="G228" s="36" t="s">
        <v>922</v>
      </c>
      <c r="H228" s="42" t="s">
        <v>895</v>
      </c>
      <c r="I228" s="35" t="s">
        <v>942</v>
      </c>
      <c r="J228" s="26">
        <v>1.5</v>
      </c>
      <c r="K228" s="26">
        <v>1.75</v>
      </c>
      <c r="L228" s="26">
        <v>53.7</v>
      </c>
      <c r="M228">
        <v>126.7</v>
      </c>
      <c r="N228" s="67">
        <f t="shared" si="3"/>
        <v>5681.6143497757848</v>
      </c>
    </row>
    <row r="229" spans="1:14" x14ac:dyDescent="0.25">
      <c r="A229" t="s">
        <v>807</v>
      </c>
      <c r="B229" s="34" t="s">
        <v>1705</v>
      </c>
      <c r="C229" s="35" t="s">
        <v>1706</v>
      </c>
      <c r="D229" s="35" t="s">
        <v>1707</v>
      </c>
      <c r="E229" s="35" t="s">
        <v>1708</v>
      </c>
      <c r="F229" s="36" t="s">
        <v>270</v>
      </c>
      <c r="G229" s="36" t="s">
        <v>901</v>
      </c>
      <c r="H229" s="42" t="s">
        <v>902</v>
      </c>
      <c r="I229" s="35" t="s">
        <v>986</v>
      </c>
      <c r="J229" s="26">
        <v>2.5</v>
      </c>
      <c r="K229" s="26">
        <v>1.25</v>
      </c>
      <c r="L229" s="26">
        <v>66.400000000000006</v>
      </c>
      <c r="M229">
        <v>148.69999999999999</v>
      </c>
      <c r="N229" s="67">
        <f t="shared" si="3"/>
        <v>6668.1614349775773</v>
      </c>
    </row>
    <row r="230" spans="1:14" x14ac:dyDescent="0.25">
      <c r="A230" t="s">
        <v>807</v>
      </c>
      <c r="B230" s="34" t="s">
        <v>1709</v>
      </c>
      <c r="C230" s="35" t="s">
        <v>1710</v>
      </c>
      <c r="D230" s="35" t="s">
        <v>1711</v>
      </c>
      <c r="E230" s="35" t="s">
        <v>1712</v>
      </c>
      <c r="F230" s="36" t="s">
        <v>48</v>
      </c>
      <c r="G230" s="36" t="s">
        <v>894</v>
      </c>
      <c r="H230" s="42" t="s">
        <v>895</v>
      </c>
      <c r="I230" s="35" t="s">
        <v>1713</v>
      </c>
      <c r="J230" s="26">
        <v>1.5</v>
      </c>
      <c r="K230" s="26">
        <v>1.5</v>
      </c>
      <c r="L230" s="26">
        <v>41.1</v>
      </c>
      <c r="M230">
        <v>91.7</v>
      </c>
      <c r="N230" s="67">
        <f t="shared" si="3"/>
        <v>4112.1076233183858</v>
      </c>
    </row>
    <row r="231" spans="1:14" x14ac:dyDescent="0.25">
      <c r="A231" t="s">
        <v>807</v>
      </c>
      <c r="B231" s="34" t="s">
        <v>1714</v>
      </c>
      <c r="C231" s="35" t="s">
        <v>1715</v>
      </c>
      <c r="D231" s="35" t="s">
        <v>1707</v>
      </c>
      <c r="E231" s="35" t="s">
        <v>1708</v>
      </c>
      <c r="F231" s="36" t="s">
        <v>270</v>
      </c>
      <c r="G231" s="36" t="s">
        <v>901</v>
      </c>
      <c r="H231" s="42" t="s">
        <v>902</v>
      </c>
      <c r="I231" s="35" t="s">
        <v>1716</v>
      </c>
      <c r="J231" s="26">
        <v>2.5</v>
      </c>
      <c r="K231" s="26">
        <v>1.75</v>
      </c>
      <c r="L231" s="26">
        <v>99.6</v>
      </c>
      <c r="M231">
        <v>228.1</v>
      </c>
      <c r="N231" s="67">
        <f t="shared" si="3"/>
        <v>10228.699551569505</v>
      </c>
    </row>
    <row r="232" spans="1:14" x14ac:dyDescent="0.25">
      <c r="A232" t="s">
        <v>807</v>
      </c>
      <c r="B232" s="34" t="s">
        <v>1717</v>
      </c>
      <c r="C232" s="35" t="s">
        <v>1718</v>
      </c>
      <c r="D232" s="35" t="s">
        <v>1719</v>
      </c>
      <c r="E232" s="35" t="s">
        <v>1708</v>
      </c>
      <c r="F232" s="36" t="s">
        <v>270</v>
      </c>
      <c r="G232" s="36" t="s">
        <v>901</v>
      </c>
      <c r="H232" s="42" t="s">
        <v>902</v>
      </c>
      <c r="I232" s="35" t="s">
        <v>1325</v>
      </c>
      <c r="J232" s="26">
        <v>2.5</v>
      </c>
      <c r="K232" s="26">
        <v>1.75</v>
      </c>
      <c r="L232" s="26">
        <v>98.2</v>
      </c>
      <c r="M232">
        <v>224.6</v>
      </c>
      <c r="N232" s="67">
        <f t="shared" si="3"/>
        <v>10071.748878923767</v>
      </c>
    </row>
    <row r="233" spans="1:14" x14ac:dyDescent="0.25">
      <c r="A233" t="s">
        <v>807</v>
      </c>
      <c r="B233" s="34" t="s">
        <v>1720</v>
      </c>
      <c r="C233" s="35" t="s">
        <v>1721</v>
      </c>
      <c r="D233" s="35" t="s">
        <v>1707</v>
      </c>
      <c r="E233" s="35" t="s">
        <v>1708</v>
      </c>
      <c r="F233" s="36" t="s">
        <v>270</v>
      </c>
      <c r="G233" s="36" t="s">
        <v>901</v>
      </c>
      <c r="H233" s="42" t="s">
        <v>902</v>
      </c>
      <c r="I233" s="35" t="s">
        <v>1716</v>
      </c>
      <c r="J233" s="26">
        <v>2.5</v>
      </c>
      <c r="K233" s="26">
        <v>1.75</v>
      </c>
      <c r="L233" s="26">
        <v>99.6</v>
      </c>
      <c r="M233">
        <v>228.1</v>
      </c>
      <c r="N233" s="67">
        <f t="shared" si="3"/>
        <v>10228.699551569505</v>
      </c>
    </row>
    <row r="234" spans="1:14" x14ac:dyDescent="0.25">
      <c r="A234" t="s">
        <v>807</v>
      </c>
      <c r="B234" s="34" t="s">
        <v>1722</v>
      </c>
      <c r="C234" s="35" t="s">
        <v>1723</v>
      </c>
      <c r="D234" s="35" t="s">
        <v>1724</v>
      </c>
      <c r="E234" s="35" t="s">
        <v>819</v>
      </c>
      <c r="F234" s="36" t="s">
        <v>203</v>
      </c>
      <c r="G234" s="36" t="s">
        <v>922</v>
      </c>
      <c r="H234" s="42" t="s">
        <v>895</v>
      </c>
      <c r="I234" s="35" t="s">
        <v>942</v>
      </c>
      <c r="J234" s="26">
        <v>1.5</v>
      </c>
      <c r="K234" s="26">
        <v>1.75</v>
      </c>
      <c r="L234" s="26">
        <v>53.7</v>
      </c>
      <c r="M234">
        <v>126.7</v>
      </c>
      <c r="N234" s="67">
        <f t="shared" si="3"/>
        <v>5681.6143497757848</v>
      </c>
    </row>
    <row r="235" spans="1:14" x14ac:dyDescent="0.25">
      <c r="A235" t="s">
        <v>828</v>
      </c>
      <c r="B235" s="34" t="s">
        <v>1725</v>
      </c>
      <c r="C235" s="35" t="s">
        <v>1726</v>
      </c>
      <c r="D235" s="35" t="s">
        <v>1727</v>
      </c>
      <c r="E235" s="35" t="s">
        <v>1728</v>
      </c>
      <c r="F235" s="36" t="s">
        <v>48</v>
      </c>
      <c r="G235" s="36" t="s">
        <v>894</v>
      </c>
      <c r="H235" s="42" t="s">
        <v>895</v>
      </c>
      <c r="I235" s="35" t="s">
        <v>1713</v>
      </c>
      <c r="J235" s="26">
        <v>1.5</v>
      </c>
      <c r="K235" s="26">
        <v>1.5</v>
      </c>
      <c r="L235" s="26">
        <v>41.1</v>
      </c>
      <c r="M235">
        <v>91.7</v>
      </c>
      <c r="N235" s="67">
        <f t="shared" si="3"/>
        <v>4112.1076233183858</v>
      </c>
    </row>
    <row r="236" spans="1:14" x14ac:dyDescent="0.25">
      <c r="A236" t="s">
        <v>828</v>
      </c>
      <c r="B236" s="34" t="s">
        <v>1729</v>
      </c>
      <c r="C236" s="35" t="s">
        <v>1730</v>
      </c>
      <c r="D236" s="35" t="s">
        <v>1731</v>
      </c>
      <c r="E236" s="35" t="s">
        <v>1732</v>
      </c>
      <c r="F236" s="36" t="s">
        <v>270</v>
      </c>
      <c r="G236" s="36" t="s">
        <v>901</v>
      </c>
      <c r="H236" s="42" t="s">
        <v>912</v>
      </c>
      <c r="I236" s="35" t="s">
        <v>1733</v>
      </c>
      <c r="J236" s="26">
        <v>6.5</v>
      </c>
      <c r="K236" s="26">
        <v>4.25</v>
      </c>
      <c r="L236" s="26">
        <v>645.5</v>
      </c>
      <c r="M236">
        <v>1517.3</v>
      </c>
      <c r="N236" s="67">
        <f t="shared" si="3"/>
        <v>68040.358744394616</v>
      </c>
    </row>
    <row r="237" spans="1:14" x14ac:dyDescent="0.25">
      <c r="A237" t="s">
        <v>828</v>
      </c>
      <c r="B237" s="34" t="s">
        <v>1734</v>
      </c>
      <c r="C237" s="35" t="s">
        <v>1735</v>
      </c>
      <c r="D237" s="35" t="s">
        <v>1736</v>
      </c>
      <c r="E237" s="35" t="s">
        <v>1737</v>
      </c>
      <c r="F237" s="36" t="s">
        <v>270</v>
      </c>
      <c r="G237" s="36" t="s">
        <v>901</v>
      </c>
      <c r="H237" s="42" t="s">
        <v>917</v>
      </c>
      <c r="I237" s="35" t="s">
        <v>1738</v>
      </c>
      <c r="J237" s="26">
        <v>4</v>
      </c>
      <c r="K237" s="26">
        <v>2.75</v>
      </c>
      <c r="L237" s="26">
        <v>256.39999999999998</v>
      </c>
      <c r="M237">
        <v>598.4</v>
      </c>
      <c r="N237" s="67">
        <f t="shared" si="3"/>
        <v>26834.080717488789</v>
      </c>
    </row>
    <row r="238" spans="1:14" x14ac:dyDescent="0.25">
      <c r="A238" t="s">
        <v>828</v>
      </c>
      <c r="B238" s="34" t="s">
        <v>1739</v>
      </c>
      <c r="C238" s="35" t="s">
        <v>1740</v>
      </c>
      <c r="D238" s="35" t="s">
        <v>1741</v>
      </c>
      <c r="E238" s="35" t="s">
        <v>1742</v>
      </c>
      <c r="F238" s="36" t="s">
        <v>270</v>
      </c>
      <c r="G238" s="36" t="s">
        <v>901</v>
      </c>
      <c r="H238" s="42" t="s">
        <v>912</v>
      </c>
      <c r="I238" s="35" t="s">
        <v>1743</v>
      </c>
      <c r="J238" s="26">
        <v>6.5</v>
      </c>
      <c r="K238" s="26">
        <v>4.25</v>
      </c>
      <c r="L238" s="26">
        <v>615.5</v>
      </c>
      <c r="M238">
        <v>1431</v>
      </c>
      <c r="N238" s="67">
        <f t="shared" si="3"/>
        <v>64170.403587443943</v>
      </c>
    </row>
    <row r="239" spans="1:14" x14ac:dyDescent="0.25">
      <c r="A239" t="s">
        <v>828</v>
      </c>
      <c r="B239" s="34" t="s">
        <v>1744</v>
      </c>
      <c r="C239" s="35" t="s">
        <v>1745</v>
      </c>
      <c r="D239" s="35" t="s">
        <v>1746</v>
      </c>
      <c r="E239" s="35" t="s">
        <v>1747</v>
      </c>
      <c r="F239" s="36" t="s">
        <v>270</v>
      </c>
      <c r="G239" s="36" t="s">
        <v>901</v>
      </c>
      <c r="H239" s="42" t="s">
        <v>917</v>
      </c>
      <c r="I239" s="35" t="s">
        <v>1748</v>
      </c>
      <c r="J239" s="26">
        <v>4</v>
      </c>
      <c r="K239" s="26">
        <v>2.75</v>
      </c>
      <c r="L239" s="26">
        <v>256.39999999999998</v>
      </c>
      <c r="M239">
        <v>608.5</v>
      </c>
      <c r="N239" s="67">
        <f t="shared" si="3"/>
        <v>27286.995515695067</v>
      </c>
    </row>
    <row r="240" spans="1:14" x14ac:dyDescent="0.25">
      <c r="A240" t="s">
        <v>828</v>
      </c>
      <c r="B240" s="34" t="s">
        <v>1749</v>
      </c>
      <c r="C240" s="35" t="s">
        <v>1750</v>
      </c>
      <c r="D240" s="35" t="s">
        <v>1751</v>
      </c>
      <c r="E240" s="35" t="s">
        <v>1752</v>
      </c>
      <c r="F240" s="36" t="s">
        <v>48</v>
      </c>
      <c r="G240" s="36" t="s">
        <v>894</v>
      </c>
      <c r="H240" s="42" t="s">
        <v>895</v>
      </c>
      <c r="I240" s="35" t="s">
        <v>950</v>
      </c>
      <c r="J240" s="26">
        <v>1.5</v>
      </c>
      <c r="K240" s="26">
        <v>2</v>
      </c>
      <c r="L240" s="26">
        <v>59.3</v>
      </c>
      <c r="M240">
        <v>138.4</v>
      </c>
      <c r="N240" s="67">
        <f t="shared" si="3"/>
        <v>6206.2780269058294</v>
      </c>
    </row>
    <row r="241" spans="1:14" x14ac:dyDescent="0.25">
      <c r="A241" t="s">
        <v>828</v>
      </c>
      <c r="B241" s="34" t="s">
        <v>1753</v>
      </c>
      <c r="C241" s="35" t="s">
        <v>1754</v>
      </c>
      <c r="D241" s="35" t="s">
        <v>1755</v>
      </c>
      <c r="E241" s="35" t="s">
        <v>1756</v>
      </c>
      <c r="F241" s="36" t="s">
        <v>270</v>
      </c>
      <c r="G241" s="36" t="s">
        <v>901</v>
      </c>
      <c r="H241" s="42" t="s">
        <v>917</v>
      </c>
      <c r="I241" s="35" t="s">
        <v>1757</v>
      </c>
      <c r="J241" s="26">
        <v>4</v>
      </c>
      <c r="K241" s="26">
        <v>3.25</v>
      </c>
      <c r="L241" s="26">
        <v>300.2</v>
      </c>
      <c r="M241">
        <v>700.5</v>
      </c>
      <c r="N241" s="67">
        <f t="shared" si="3"/>
        <v>31412.556053811659</v>
      </c>
    </row>
    <row r="242" spans="1:14" x14ac:dyDescent="0.25">
      <c r="A242" t="s">
        <v>828</v>
      </c>
      <c r="B242" s="34" t="s">
        <v>1758</v>
      </c>
      <c r="C242" s="35" t="s">
        <v>1759</v>
      </c>
      <c r="D242" s="35" t="s">
        <v>1760</v>
      </c>
      <c r="E242" s="35" t="s">
        <v>1761</v>
      </c>
      <c r="F242" s="36" t="s">
        <v>203</v>
      </c>
      <c r="G242" s="36" t="s">
        <v>1762</v>
      </c>
      <c r="H242" s="42" t="s">
        <v>895</v>
      </c>
      <c r="I242" s="35" t="s">
        <v>942</v>
      </c>
      <c r="J242" s="26">
        <v>1.5</v>
      </c>
      <c r="K242" s="26">
        <v>1.75</v>
      </c>
      <c r="L242" s="26">
        <v>53.7</v>
      </c>
      <c r="M242">
        <v>126.7</v>
      </c>
      <c r="N242" s="67">
        <f t="shared" si="3"/>
        <v>5681.6143497757848</v>
      </c>
    </row>
    <row r="243" spans="1:14" x14ac:dyDescent="0.25">
      <c r="A243" t="s">
        <v>852</v>
      </c>
      <c r="B243" s="34" t="s">
        <v>1763</v>
      </c>
      <c r="C243" s="35" t="s">
        <v>1764</v>
      </c>
      <c r="D243" s="35" t="s">
        <v>1765</v>
      </c>
      <c r="E243" s="35" t="s">
        <v>1766</v>
      </c>
      <c r="F243" s="36" t="s">
        <v>1767</v>
      </c>
      <c r="G243" s="36" t="s">
        <v>1768</v>
      </c>
      <c r="H243" s="42" t="s">
        <v>1769</v>
      </c>
      <c r="I243" s="35" t="s">
        <v>1770</v>
      </c>
      <c r="J243" s="26">
        <v>2</v>
      </c>
      <c r="K243" s="26" t="s">
        <v>1771</v>
      </c>
      <c r="L243" s="26">
        <v>75</v>
      </c>
      <c r="M243">
        <f t="shared" ref="M243:M250" si="4">L243*2.35940409683426</f>
        <v>176.95530726256948</v>
      </c>
      <c r="N243" s="67">
        <f t="shared" si="3"/>
        <v>7935.2155723125325</v>
      </c>
    </row>
    <row r="244" spans="1:14" x14ac:dyDescent="0.25">
      <c r="A244" t="s">
        <v>852</v>
      </c>
      <c r="B244" s="34" t="s">
        <v>1772</v>
      </c>
      <c r="C244" s="35" t="s">
        <v>1773</v>
      </c>
      <c r="D244" s="35" t="s">
        <v>1774</v>
      </c>
      <c r="E244" s="35" t="s">
        <v>1775</v>
      </c>
      <c r="F244" s="36" t="s">
        <v>1767</v>
      </c>
      <c r="G244" s="36" t="s">
        <v>1776</v>
      </c>
      <c r="H244" s="42" t="s">
        <v>902</v>
      </c>
      <c r="I244" s="35" t="s">
        <v>1777</v>
      </c>
      <c r="J244" s="26">
        <v>3</v>
      </c>
      <c r="K244" s="26" t="s">
        <v>1778</v>
      </c>
      <c r="L244" s="26">
        <v>115</v>
      </c>
      <c r="M244">
        <f t="shared" si="4"/>
        <v>271.33147113593986</v>
      </c>
      <c r="N244" s="67">
        <f t="shared" si="3"/>
        <v>12167.330544212549</v>
      </c>
    </row>
    <row r="245" spans="1:14" x14ac:dyDescent="0.25">
      <c r="A245" t="s">
        <v>852</v>
      </c>
      <c r="B245" s="34" t="s">
        <v>1779</v>
      </c>
      <c r="C245" s="35" t="s">
        <v>1780</v>
      </c>
      <c r="D245" s="35" t="s">
        <v>1781</v>
      </c>
      <c r="E245" s="35" t="s">
        <v>1782</v>
      </c>
      <c r="F245" s="36" t="s">
        <v>1783</v>
      </c>
      <c r="G245" s="36" t="s">
        <v>1784</v>
      </c>
      <c r="H245" s="42" t="s">
        <v>902</v>
      </c>
      <c r="I245" s="35" t="s">
        <v>1785</v>
      </c>
      <c r="J245" s="26">
        <v>3</v>
      </c>
      <c r="K245" s="26" t="s">
        <v>1786</v>
      </c>
      <c r="L245" s="26">
        <v>110</v>
      </c>
      <c r="M245">
        <f t="shared" si="4"/>
        <v>259.53445065176857</v>
      </c>
      <c r="N245" s="67">
        <f t="shared" si="3"/>
        <v>11638.316172725048</v>
      </c>
    </row>
    <row r="246" spans="1:14" x14ac:dyDescent="0.25">
      <c r="A246" t="s">
        <v>852</v>
      </c>
      <c r="B246" s="34" t="s">
        <v>1787</v>
      </c>
      <c r="C246" s="35" t="s">
        <v>1788</v>
      </c>
      <c r="D246" s="35" t="s">
        <v>1789</v>
      </c>
      <c r="E246" s="35" t="s">
        <v>1790</v>
      </c>
      <c r="F246" s="36" t="s">
        <v>1791</v>
      </c>
      <c r="G246" s="36" t="s">
        <v>1792</v>
      </c>
      <c r="H246" s="42" t="s">
        <v>895</v>
      </c>
      <c r="I246" s="35" t="s">
        <v>1793</v>
      </c>
      <c r="J246" s="26">
        <v>2</v>
      </c>
      <c r="K246" s="26" t="s">
        <v>1794</v>
      </c>
      <c r="L246" s="26">
        <v>80</v>
      </c>
      <c r="M246">
        <f t="shared" si="4"/>
        <v>188.75232774674078</v>
      </c>
      <c r="N246" s="67">
        <f t="shared" si="3"/>
        <v>8464.2299438000337</v>
      </c>
    </row>
    <row r="247" spans="1:14" x14ac:dyDescent="0.25">
      <c r="A247" t="s">
        <v>852</v>
      </c>
      <c r="B247" s="34" t="s">
        <v>1795</v>
      </c>
      <c r="C247" s="35" t="s">
        <v>1796</v>
      </c>
      <c r="D247" s="35" t="s">
        <v>1797</v>
      </c>
      <c r="E247" s="35" t="s">
        <v>1798</v>
      </c>
      <c r="F247" s="36" t="s">
        <v>1799</v>
      </c>
      <c r="G247" s="36" t="s">
        <v>1800</v>
      </c>
      <c r="H247" s="42" t="s">
        <v>917</v>
      </c>
      <c r="I247" s="35" t="s">
        <v>1801</v>
      </c>
      <c r="J247" s="26">
        <v>4</v>
      </c>
      <c r="K247" s="26">
        <v>2</v>
      </c>
      <c r="L247" s="26">
        <v>165</v>
      </c>
      <c r="M247">
        <f t="shared" si="4"/>
        <v>389.30167597765285</v>
      </c>
      <c r="N247" s="67">
        <f t="shared" si="3"/>
        <v>17457.474259087572</v>
      </c>
    </row>
    <row r="248" spans="1:14" x14ac:dyDescent="0.25">
      <c r="A248" t="s">
        <v>852</v>
      </c>
      <c r="B248" s="34" t="s">
        <v>1802</v>
      </c>
      <c r="C248" s="35" t="s">
        <v>1803</v>
      </c>
      <c r="D248" s="35" t="s">
        <v>1804</v>
      </c>
      <c r="E248" s="35" t="s">
        <v>1805</v>
      </c>
      <c r="F248" s="36" t="s">
        <v>1806</v>
      </c>
      <c r="G248" s="36" t="s">
        <v>1807</v>
      </c>
      <c r="H248" s="42" t="s">
        <v>895</v>
      </c>
      <c r="I248" s="35" t="s">
        <v>1808</v>
      </c>
      <c r="J248" s="26">
        <v>2</v>
      </c>
      <c r="K248" s="26" t="s">
        <v>1809</v>
      </c>
      <c r="L248" s="26">
        <v>70</v>
      </c>
      <c r="M248">
        <f t="shared" si="4"/>
        <v>165.15828677839818</v>
      </c>
      <c r="N248" s="67">
        <f t="shared" si="3"/>
        <v>7406.2012008250304</v>
      </c>
    </row>
    <row r="249" spans="1:14" x14ac:dyDescent="0.25">
      <c r="A249" t="s">
        <v>852</v>
      </c>
      <c r="B249" s="34" t="s">
        <v>1810</v>
      </c>
      <c r="C249" s="35" t="s">
        <v>1811</v>
      </c>
      <c r="D249" s="35" t="s">
        <v>1812</v>
      </c>
      <c r="E249" s="35" t="s">
        <v>1813</v>
      </c>
      <c r="F249" s="36" t="s">
        <v>1814</v>
      </c>
      <c r="G249" s="36" t="s">
        <v>1815</v>
      </c>
      <c r="H249" s="42" t="s">
        <v>895</v>
      </c>
      <c r="I249" s="35" t="s">
        <v>1816</v>
      </c>
      <c r="J249" s="26">
        <v>2</v>
      </c>
      <c r="K249" s="26" t="s">
        <v>1778</v>
      </c>
      <c r="L249" s="26">
        <v>95</v>
      </c>
      <c r="M249">
        <f t="shared" si="4"/>
        <v>224.14338919925467</v>
      </c>
      <c r="N249" s="67">
        <f t="shared" si="3"/>
        <v>10051.273058262541</v>
      </c>
    </row>
    <row r="250" spans="1:14" x14ac:dyDescent="0.25">
      <c r="A250" t="s">
        <v>852</v>
      </c>
      <c r="B250" s="59" t="s">
        <v>1817</v>
      </c>
      <c r="C250" s="58" t="s">
        <v>1818</v>
      </c>
      <c r="D250" s="58" t="s">
        <v>1819</v>
      </c>
      <c r="E250" s="58" t="s">
        <v>1820</v>
      </c>
      <c r="F250" s="57" t="s">
        <v>1821</v>
      </c>
      <c r="G250" s="57" t="s">
        <v>1822</v>
      </c>
      <c r="H250" s="42" t="s">
        <v>895</v>
      </c>
      <c r="I250" s="58" t="s">
        <v>1823</v>
      </c>
      <c r="J250" s="26">
        <v>1</v>
      </c>
      <c r="K250" s="26" t="s">
        <v>1824</v>
      </c>
      <c r="L250" s="26">
        <v>30</v>
      </c>
      <c r="M250">
        <f t="shared" si="4"/>
        <v>70.782122905027791</v>
      </c>
      <c r="N250" s="67">
        <f t="shared" si="3"/>
        <v>3174.0862289250131</v>
      </c>
    </row>
    <row r="251" spans="1:14" x14ac:dyDescent="0.25">
      <c r="D251" s="56"/>
      <c r="E251" s="56"/>
      <c r="F251" s="56"/>
      <c r="G251" s="56"/>
      <c r="H251" s="56"/>
      <c r="I251" s="56"/>
    </row>
  </sheetData>
  <autoFilter ref="A1:G234" xr:uid="{2CEB0848-2DA8-4196-905C-64AA3690A885}"/>
  <dataConsolidate/>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DA67E-582C-40C9-B3BB-A16B6F0D09BC}">
  <dimension ref="A1:J44"/>
  <sheetViews>
    <sheetView zoomScale="115" zoomScaleNormal="115" workbookViewId="0">
      <selection activeCell="J4" sqref="J4"/>
    </sheetView>
  </sheetViews>
  <sheetFormatPr defaultRowHeight="15" x14ac:dyDescent="0.25"/>
  <cols>
    <col min="2" max="2" width="42.85546875" style="11" customWidth="1"/>
    <col min="3" max="3" width="15.140625" style="26" customWidth="1"/>
    <col min="4" max="9" width="10.5703125" style="26" customWidth="1"/>
    <col min="10" max="10" width="28.7109375" style="26" customWidth="1"/>
  </cols>
  <sheetData>
    <row r="1" spans="1:10" x14ac:dyDescent="0.25">
      <c r="A1" s="27" t="s">
        <v>0</v>
      </c>
      <c r="B1" s="33" t="s">
        <v>1</v>
      </c>
      <c r="C1" s="28" t="s">
        <v>1825</v>
      </c>
      <c r="D1" s="28" t="s">
        <v>1826</v>
      </c>
      <c r="E1" s="28" t="s">
        <v>1827</v>
      </c>
      <c r="F1" s="28" t="s">
        <v>1828</v>
      </c>
      <c r="G1" s="28" t="s">
        <v>1829</v>
      </c>
      <c r="H1" s="28" t="s">
        <v>1830</v>
      </c>
      <c r="I1" s="28" t="s">
        <v>1831</v>
      </c>
      <c r="J1" s="28" t="s">
        <v>1832</v>
      </c>
    </row>
    <row r="2" spans="1:10" x14ac:dyDescent="0.25">
      <c r="A2" t="s">
        <v>723</v>
      </c>
      <c r="B2" s="11" t="s">
        <v>724</v>
      </c>
      <c r="C2" s="26">
        <v>6</v>
      </c>
      <c r="D2" s="26">
        <v>2</v>
      </c>
      <c r="E2" s="26">
        <v>2</v>
      </c>
      <c r="F2" s="26">
        <v>2</v>
      </c>
      <c r="G2" s="26" t="s">
        <v>1833</v>
      </c>
      <c r="H2" s="26" t="s">
        <v>1833</v>
      </c>
      <c r="I2" s="26" t="s">
        <v>1833</v>
      </c>
      <c r="J2" s="26" t="s">
        <v>1834</v>
      </c>
    </row>
    <row r="3" spans="1:10" ht="30" x14ac:dyDescent="0.25">
      <c r="A3" t="s">
        <v>558</v>
      </c>
      <c r="B3" s="11" t="s">
        <v>559</v>
      </c>
      <c r="C3" s="26">
        <v>5</v>
      </c>
      <c r="D3" s="26">
        <v>2</v>
      </c>
      <c r="E3" s="26">
        <v>2</v>
      </c>
      <c r="F3" s="26">
        <v>1</v>
      </c>
      <c r="G3" s="26" t="s">
        <v>1835</v>
      </c>
      <c r="H3" s="26" t="s">
        <v>1835</v>
      </c>
      <c r="I3" s="26" t="s">
        <v>1836</v>
      </c>
      <c r="J3" s="26" t="s">
        <v>1837</v>
      </c>
    </row>
    <row r="4" spans="1:10" ht="30" x14ac:dyDescent="0.25">
      <c r="A4" t="s">
        <v>337</v>
      </c>
      <c r="B4" s="11" t="s">
        <v>338</v>
      </c>
      <c r="C4" s="26">
        <v>4</v>
      </c>
      <c r="D4" s="26">
        <v>2</v>
      </c>
      <c r="E4" s="26">
        <v>0</v>
      </c>
      <c r="F4" s="26">
        <v>2</v>
      </c>
      <c r="G4" s="26" t="s">
        <v>1838</v>
      </c>
      <c r="H4" s="26" t="s">
        <v>1839</v>
      </c>
      <c r="I4" s="26" t="s">
        <v>1838</v>
      </c>
      <c r="J4" s="26" t="s">
        <v>1840</v>
      </c>
    </row>
    <row r="5" spans="1:10" ht="30" x14ac:dyDescent="0.25">
      <c r="A5" t="s">
        <v>60</v>
      </c>
      <c r="B5" s="11" t="s">
        <v>61</v>
      </c>
      <c r="C5" s="26">
        <v>6</v>
      </c>
      <c r="D5" s="26">
        <v>3</v>
      </c>
      <c r="E5" s="26">
        <v>1</v>
      </c>
      <c r="F5" s="26">
        <v>2</v>
      </c>
      <c r="G5" s="26" t="s">
        <v>1838</v>
      </c>
      <c r="H5" s="26" t="s">
        <v>1841</v>
      </c>
      <c r="I5" s="26" t="s">
        <v>1833</v>
      </c>
      <c r="J5" s="26" t="s">
        <v>1842</v>
      </c>
    </row>
    <row r="6" spans="1:10" x14ac:dyDescent="0.25">
      <c r="A6" t="s">
        <v>140</v>
      </c>
      <c r="B6" s="11" t="s">
        <v>141</v>
      </c>
      <c r="C6" s="26">
        <v>6</v>
      </c>
      <c r="D6" s="26">
        <v>3</v>
      </c>
      <c r="E6" s="26">
        <v>2</v>
      </c>
      <c r="F6" s="26">
        <v>1</v>
      </c>
      <c r="G6" s="26" t="s">
        <v>1838</v>
      </c>
      <c r="H6" s="26" t="s">
        <v>1833</v>
      </c>
      <c r="I6" s="26" t="s">
        <v>1841</v>
      </c>
      <c r="J6" s="26" t="s">
        <v>1842</v>
      </c>
    </row>
    <row r="7" spans="1:10" ht="30" x14ac:dyDescent="0.25">
      <c r="A7" t="s">
        <v>164</v>
      </c>
      <c r="B7" s="11" t="s">
        <v>165</v>
      </c>
      <c r="C7" s="26">
        <v>6</v>
      </c>
      <c r="D7" s="26">
        <v>3</v>
      </c>
      <c r="E7" s="26">
        <v>2</v>
      </c>
      <c r="F7" s="26">
        <v>1</v>
      </c>
      <c r="G7" s="26" t="s">
        <v>1838</v>
      </c>
      <c r="H7" s="26" t="s">
        <v>1833</v>
      </c>
      <c r="I7" s="26" t="s">
        <v>1841</v>
      </c>
      <c r="J7" s="26" t="s">
        <v>1842</v>
      </c>
    </row>
    <row r="8" spans="1:10" ht="30" x14ac:dyDescent="0.25">
      <c r="A8" t="s">
        <v>1061</v>
      </c>
      <c r="B8" s="11" t="s">
        <v>1843</v>
      </c>
      <c r="C8" s="26">
        <v>6</v>
      </c>
      <c r="D8" s="26">
        <v>4</v>
      </c>
      <c r="E8" s="26">
        <v>1</v>
      </c>
      <c r="F8" s="26">
        <v>1</v>
      </c>
      <c r="G8" s="26" t="s">
        <v>1844</v>
      </c>
      <c r="H8" s="26" t="s">
        <v>1841</v>
      </c>
      <c r="I8" s="26" t="s">
        <v>1841</v>
      </c>
      <c r="J8" s="26" t="s">
        <v>1842</v>
      </c>
    </row>
    <row r="9" spans="1:10" ht="30" x14ac:dyDescent="0.25">
      <c r="A9" t="s">
        <v>211</v>
      </c>
      <c r="B9" s="11" t="s">
        <v>212</v>
      </c>
      <c r="C9" s="26">
        <v>7</v>
      </c>
      <c r="D9" s="26">
        <v>3</v>
      </c>
      <c r="E9" s="26">
        <v>2</v>
      </c>
      <c r="F9" s="26">
        <v>2</v>
      </c>
      <c r="G9" s="26" t="s">
        <v>1845</v>
      </c>
      <c r="H9" s="26" t="s">
        <v>1846</v>
      </c>
      <c r="I9" s="26" t="s">
        <v>1846</v>
      </c>
      <c r="J9" s="26" t="s">
        <v>1842</v>
      </c>
    </row>
    <row r="10" spans="1:10" ht="30" x14ac:dyDescent="0.25">
      <c r="A10" t="s">
        <v>232</v>
      </c>
      <c r="B10" s="11" t="s">
        <v>233</v>
      </c>
      <c r="C10" s="26">
        <v>8</v>
      </c>
      <c r="D10" s="26">
        <v>4</v>
      </c>
      <c r="E10" s="26">
        <v>3</v>
      </c>
      <c r="F10" s="26">
        <v>1</v>
      </c>
      <c r="G10" s="26" t="s">
        <v>1838</v>
      </c>
      <c r="H10" s="26" t="s">
        <v>1847</v>
      </c>
      <c r="I10" s="26" t="s">
        <v>1848</v>
      </c>
      <c r="J10" s="26" t="s">
        <v>1842</v>
      </c>
    </row>
    <row r="11" spans="1:10" x14ac:dyDescent="0.25">
      <c r="A11" t="s">
        <v>257</v>
      </c>
      <c r="B11" s="11" t="s">
        <v>1849</v>
      </c>
      <c r="C11" s="26">
        <v>11</v>
      </c>
      <c r="D11" s="26">
        <v>5</v>
      </c>
      <c r="E11" s="26">
        <v>4</v>
      </c>
      <c r="F11" s="26">
        <v>2</v>
      </c>
      <c r="G11" s="26" t="s">
        <v>1850</v>
      </c>
      <c r="H11" s="26" t="s">
        <v>1851</v>
      </c>
      <c r="I11" s="26" t="s">
        <v>1852</v>
      </c>
      <c r="J11" s="26" t="s">
        <v>1842</v>
      </c>
    </row>
    <row r="12" spans="1:10" ht="30" x14ac:dyDescent="0.25">
      <c r="A12" t="s">
        <v>283</v>
      </c>
      <c r="B12" s="11" t="s">
        <v>284</v>
      </c>
      <c r="C12" s="26">
        <v>6</v>
      </c>
      <c r="D12" s="26">
        <v>3</v>
      </c>
      <c r="E12" s="26">
        <v>2</v>
      </c>
      <c r="F12" s="26">
        <v>1</v>
      </c>
      <c r="G12" s="26" t="s">
        <v>1838</v>
      </c>
      <c r="H12" s="26" t="s">
        <v>1833</v>
      </c>
      <c r="I12" s="26" t="s">
        <v>1841</v>
      </c>
      <c r="J12" s="26" t="s">
        <v>1842</v>
      </c>
    </row>
    <row r="13" spans="1:10" ht="30" x14ac:dyDescent="0.25">
      <c r="A13" t="s">
        <v>300</v>
      </c>
      <c r="B13" s="11" t="s">
        <v>301</v>
      </c>
      <c r="C13" s="26">
        <v>6</v>
      </c>
      <c r="D13" s="26">
        <v>3</v>
      </c>
      <c r="E13" s="26">
        <v>2</v>
      </c>
      <c r="F13" s="26">
        <v>1</v>
      </c>
      <c r="G13" s="26" t="s">
        <v>1838</v>
      </c>
      <c r="H13" s="26" t="s">
        <v>1833</v>
      </c>
      <c r="I13" s="26" t="s">
        <v>1841</v>
      </c>
      <c r="J13" s="26" t="s">
        <v>1842</v>
      </c>
    </row>
    <row r="14" spans="1:10" x14ac:dyDescent="0.25">
      <c r="A14" t="s">
        <v>319</v>
      </c>
      <c r="B14" s="11" t="s">
        <v>320</v>
      </c>
      <c r="C14" s="26">
        <v>6</v>
      </c>
      <c r="D14" s="26">
        <v>3</v>
      </c>
      <c r="E14" s="26">
        <v>2</v>
      </c>
      <c r="F14" s="26">
        <v>1</v>
      </c>
      <c r="G14" s="26" t="s">
        <v>1838</v>
      </c>
      <c r="H14" s="26" t="s">
        <v>1833</v>
      </c>
      <c r="I14" s="26" t="s">
        <v>1841</v>
      </c>
      <c r="J14" s="26" t="s">
        <v>1842</v>
      </c>
    </row>
    <row r="15" spans="1:10" x14ac:dyDescent="0.25">
      <c r="A15" t="s">
        <v>525</v>
      </c>
      <c r="B15" s="11" t="s">
        <v>1853</v>
      </c>
      <c r="C15" s="26">
        <v>4</v>
      </c>
      <c r="D15" s="26">
        <v>3</v>
      </c>
      <c r="E15" s="26">
        <v>0</v>
      </c>
      <c r="F15" s="26">
        <v>1</v>
      </c>
      <c r="G15" s="26" t="s">
        <v>1854</v>
      </c>
      <c r="H15" s="26" t="s">
        <v>1839</v>
      </c>
      <c r="I15" s="26" t="s">
        <v>1855</v>
      </c>
      <c r="J15" s="26" t="s">
        <v>1842</v>
      </c>
    </row>
    <row r="16" spans="1:10" ht="30" x14ac:dyDescent="0.25">
      <c r="A16" t="s">
        <v>683</v>
      </c>
      <c r="B16" s="11" t="s">
        <v>684</v>
      </c>
      <c r="C16" s="26">
        <v>6</v>
      </c>
      <c r="D16" s="26">
        <v>4</v>
      </c>
      <c r="E16" s="26">
        <v>2</v>
      </c>
      <c r="F16" s="26">
        <v>0</v>
      </c>
      <c r="G16" s="26" t="s">
        <v>1844</v>
      </c>
      <c r="H16" s="26" t="s">
        <v>1833</v>
      </c>
      <c r="I16" s="26" t="s">
        <v>1839</v>
      </c>
      <c r="J16" s="26" t="s">
        <v>1842</v>
      </c>
    </row>
    <row r="17" spans="1:10" ht="30" x14ac:dyDescent="0.25">
      <c r="A17" t="s">
        <v>787</v>
      </c>
      <c r="B17" s="11" t="s">
        <v>788</v>
      </c>
      <c r="C17" s="26">
        <v>6</v>
      </c>
      <c r="D17" s="26">
        <v>3</v>
      </c>
      <c r="E17" s="26">
        <v>2</v>
      </c>
      <c r="F17" s="26">
        <v>1</v>
      </c>
      <c r="G17" s="26" t="s">
        <v>1838</v>
      </c>
      <c r="H17" s="26" t="s">
        <v>1833</v>
      </c>
      <c r="I17" s="26" t="s">
        <v>1841</v>
      </c>
      <c r="J17" s="26" t="s">
        <v>1842</v>
      </c>
    </row>
    <row r="18" spans="1:10" ht="30" x14ac:dyDescent="0.25">
      <c r="A18" t="s">
        <v>33</v>
      </c>
      <c r="B18" s="11" t="s">
        <v>34</v>
      </c>
      <c r="C18" s="26">
        <v>6</v>
      </c>
      <c r="D18" s="26">
        <v>2</v>
      </c>
      <c r="E18" s="26">
        <v>3</v>
      </c>
      <c r="F18" s="26">
        <v>1</v>
      </c>
      <c r="G18" s="26" t="s">
        <v>1833</v>
      </c>
      <c r="H18" s="26" t="s">
        <v>1838</v>
      </c>
      <c r="I18" s="26" t="s">
        <v>1841</v>
      </c>
      <c r="J18" s="26" t="s">
        <v>1856</v>
      </c>
    </row>
    <row r="19" spans="1:10" x14ac:dyDescent="0.25">
      <c r="A19" t="s">
        <v>77</v>
      </c>
      <c r="B19" s="11" t="s">
        <v>1857</v>
      </c>
      <c r="C19" s="26">
        <v>6</v>
      </c>
      <c r="D19" s="26">
        <v>2</v>
      </c>
      <c r="E19" s="26">
        <v>3</v>
      </c>
      <c r="F19" s="26">
        <v>1</v>
      </c>
      <c r="G19" s="26" t="s">
        <v>1833</v>
      </c>
      <c r="H19" s="26" t="s">
        <v>1838</v>
      </c>
      <c r="I19" s="26" t="s">
        <v>1841</v>
      </c>
      <c r="J19" s="26" t="s">
        <v>1856</v>
      </c>
    </row>
    <row r="20" spans="1:10" x14ac:dyDescent="0.25">
      <c r="A20" t="s">
        <v>99</v>
      </c>
      <c r="B20" s="11" t="s">
        <v>100</v>
      </c>
      <c r="C20" s="26">
        <v>6</v>
      </c>
      <c r="D20" s="26">
        <v>2</v>
      </c>
      <c r="E20" s="26">
        <v>3</v>
      </c>
      <c r="F20" s="26">
        <v>1</v>
      </c>
      <c r="G20" s="26" t="s">
        <v>1833</v>
      </c>
      <c r="H20" s="26" t="s">
        <v>1838</v>
      </c>
      <c r="I20" s="26" t="s">
        <v>1841</v>
      </c>
      <c r="J20" s="26" t="s">
        <v>1856</v>
      </c>
    </row>
    <row r="21" spans="1:10" x14ac:dyDescent="0.25">
      <c r="A21" t="s">
        <v>121</v>
      </c>
      <c r="B21" s="11" t="s">
        <v>122</v>
      </c>
      <c r="C21" s="26">
        <v>6</v>
      </c>
      <c r="D21" s="26">
        <v>2</v>
      </c>
      <c r="E21" s="26">
        <v>3</v>
      </c>
      <c r="F21" s="26">
        <v>1</v>
      </c>
      <c r="G21" s="26" t="s">
        <v>1833</v>
      </c>
      <c r="H21" s="26" t="s">
        <v>1838</v>
      </c>
      <c r="I21" s="26" t="s">
        <v>1841</v>
      </c>
      <c r="J21" s="26" t="s">
        <v>1856</v>
      </c>
    </row>
    <row r="22" spans="1:10" ht="30" x14ac:dyDescent="0.25">
      <c r="A22" t="s">
        <v>187</v>
      </c>
      <c r="B22" s="11" t="s">
        <v>188</v>
      </c>
      <c r="C22" s="26">
        <v>8</v>
      </c>
      <c r="D22" s="26">
        <v>3</v>
      </c>
      <c r="E22" s="26">
        <v>4</v>
      </c>
      <c r="F22" s="26">
        <v>1</v>
      </c>
      <c r="G22" s="26" t="s">
        <v>1847</v>
      </c>
      <c r="H22" s="26" t="s">
        <v>1838</v>
      </c>
      <c r="I22" s="26" t="s">
        <v>1848</v>
      </c>
      <c r="J22" s="26" t="s">
        <v>1856</v>
      </c>
    </row>
    <row r="23" spans="1:10" x14ac:dyDescent="0.25">
      <c r="A23" t="s">
        <v>356</v>
      </c>
      <c r="B23" s="11" t="s">
        <v>1858</v>
      </c>
      <c r="C23" s="26">
        <v>5</v>
      </c>
      <c r="D23" s="26">
        <v>1</v>
      </c>
      <c r="E23" s="26">
        <v>3</v>
      </c>
      <c r="F23" s="26">
        <v>1</v>
      </c>
      <c r="G23" s="26" t="s">
        <v>1836</v>
      </c>
      <c r="H23" s="26" t="s">
        <v>1859</v>
      </c>
      <c r="I23" s="26" t="s">
        <v>1836</v>
      </c>
      <c r="J23" s="26" t="s">
        <v>1856</v>
      </c>
    </row>
    <row r="24" spans="1:10" x14ac:dyDescent="0.25">
      <c r="A24" t="s">
        <v>376</v>
      </c>
      <c r="B24" s="11" t="s">
        <v>1860</v>
      </c>
      <c r="C24" s="26">
        <v>5</v>
      </c>
      <c r="D24" s="26">
        <v>0</v>
      </c>
      <c r="E24" s="26">
        <v>5</v>
      </c>
      <c r="F24" s="26">
        <v>0</v>
      </c>
      <c r="G24" s="26" t="s">
        <v>1839</v>
      </c>
      <c r="H24" s="26" t="s">
        <v>1861</v>
      </c>
      <c r="I24" s="26" t="s">
        <v>1839</v>
      </c>
      <c r="J24" s="26" t="s">
        <v>1856</v>
      </c>
    </row>
    <row r="25" spans="1:10" ht="30" x14ac:dyDescent="0.25">
      <c r="A25" t="s">
        <v>392</v>
      </c>
      <c r="B25" s="11" t="s">
        <v>393</v>
      </c>
      <c r="C25" s="26">
        <v>4</v>
      </c>
      <c r="D25" s="26">
        <v>0</v>
      </c>
      <c r="E25" s="26">
        <v>3</v>
      </c>
      <c r="F25" s="26">
        <v>1</v>
      </c>
      <c r="G25" s="26" t="s">
        <v>1839</v>
      </c>
      <c r="H25" s="26" t="s">
        <v>1854</v>
      </c>
      <c r="I25" s="26" t="s">
        <v>1855</v>
      </c>
      <c r="J25" s="26" t="s">
        <v>1856</v>
      </c>
    </row>
    <row r="26" spans="1:10" ht="30" x14ac:dyDescent="0.25">
      <c r="A26" t="s">
        <v>409</v>
      </c>
      <c r="B26" s="11" t="s">
        <v>410</v>
      </c>
      <c r="C26" s="26">
        <v>5</v>
      </c>
      <c r="D26" s="26">
        <v>1</v>
      </c>
      <c r="E26" s="26">
        <v>4</v>
      </c>
      <c r="F26" s="26">
        <v>0</v>
      </c>
      <c r="G26" s="26" t="s">
        <v>1836</v>
      </c>
      <c r="H26" s="26" t="s">
        <v>1862</v>
      </c>
      <c r="I26" s="26" t="s">
        <v>1839</v>
      </c>
      <c r="J26" s="26" t="s">
        <v>1856</v>
      </c>
    </row>
    <row r="27" spans="1:10" ht="30" x14ac:dyDescent="0.25">
      <c r="A27" t="s">
        <v>431</v>
      </c>
      <c r="B27" s="11" t="s">
        <v>432</v>
      </c>
      <c r="C27" s="26">
        <v>5</v>
      </c>
      <c r="D27" s="26">
        <v>1</v>
      </c>
      <c r="E27" s="26">
        <v>4</v>
      </c>
      <c r="F27" s="26">
        <v>0</v>
      </c>
      <c r="G27" s="26" t="s">
        <v>1836</v>
      </c>
      <c r="H27" s="26" t="s">
        <v>1862</v>
      </c>
      <c r="I27" s="26" t="s">
        <v>1839</v>
      </c>
      <c r="J27" s="26" t="s">
        <v>1856</v>
      </c>
    </row>
    <row r="28" spans="1:10" ht="30" x14ac:dyDescent="0.25">
      <c r="A28" t="s">
        <v>454</v>
      </c>
      <c r="B28" s="11" t="s">
        <v>455</v>
      </c>
      <c r="C28" s="26">
        <v>4</v>
      </c>
      <c r="D28" s="26">
        <v>1</v>
      </c>
      <c r="E28" s="26">
        <v>3</v>
      </c>
      <c r="F28" s="26">
        <v>0</v>
      </c>
      <c r="G28" s="26" t="s">
        <v>1855</v>
      </c>
      <c r="H28" s="26" t="s">
        <v>1854</v>
      </c>
      <c r="I28" s="26" t="s">
        <v>1839</v>
      </c>
      <c r="J28" s="26" t="s">
        <v>1856</v>
      </c>
    </row>
    <row r="29" spans="1:10" x14ac:dyDescent="0.25">
      <c r="A29" t="s">
        <v>1378</v>
      </c>
      <c r="B29" s="11" t="s">
        <v>1863</v>
      </c>
      <c r="C29" s="26">
        <v>4</v>
      </c>
      <c r="D29" s="26">
        <v>1</v>
      </c>
      <c r="E29" s="26">
        <v>2</v>
      </c>
      <c r="F29" s="26">
        <v>1</v>
      </c>
      <c r="G29" s="26" t="s">
        <v>1855</v>
      </c>
      <c r="H29" s="26" t="s">
        <v>1838</v>
      </c>
      <c r="I29" s="26" t="s">
        <v>1855</v>
      </c>
      <c r="J29" s="26" t="s">
        <v>1856</v>
      </c>
    </row>
    <row r="30" spans="1:10" ht="30" x14ac:dyDescent="0.25">
      <c r="A30" t="s">
        <v>473</v>
      </c>
      <c r="B30" s="11" t="s">
        <v>474</v>
      </c>
      <c r="C30" s="26">
        <v>4</v>
      </c>
      <c r="D30" s="26">
        <v>0</v>
      </c>
      <c r="E30" s="26">
        <v>4</v>
      </c>
      <c r="F30" s="26">
        <v>0</v>
      </c>
      <c r="G30" s="26" t="s">
        <v>1839</v>
      </c>
      <c r="H30" s="26" t="s">
        <v>1861</v>
      </c>
      <c r="I30" s="26" t="s">
        <v>1839</v>
      </c>
      <c r="J30" s="26" t="s">
        <v>1856</v>
      </c>
    </row>
    <row r="31" spans="1:10" ht="30" x14ac:dyDescent="0.25">
      <c r="A31" t="s">
        <v>491</v>
      </c>
      <c r="B31" s="11" t="s">
        <v>492</v>
      </c>
      <c r="C31" s="26">
        <v>4</v>
      </c>
      <c r="D31" s="26">
        <v>0</v>
      </c>
      <c r="E31" s="26">
        <v>4</v>
      </c>
      <c r="F31" s="26">
        <v>0</v>
      </c>
      <c r="G31" s="26" t="s">
        <v>1839</v>
      </c>
      <c r="H31" s="26" t="s">
        <v>1861</v>
      </c>
      <c r="I31" s="26" t="s">
        <v>1839</v>
      </c>
      <c r="J31" s="26" t="s">
        <v>1856</v>
      </c>
    </row>
    <row r="32" spans="1:10" ht="30" x14ac:dyDescent="0.25">
      <c r="A32" t="s">
        <v>508</v>
      </c>
      <c r="B32" s="11" t="s">
        <v>509</v>
      </c>
      <c r="C32" s="26">
        <v>4</v>
      </c>
      <c r="D32" s="26">
        <v>0</v>
      </c>
      <c r="E32" s="26">
        <v>4</v>
      </c>
      <c r="F32" s="26">
        <v>0</v>
      </c>
      <c r="G32" s="26" t="s">
        <v>1839</v>
      </c>
      <c r="H32" s="26" t="s">
        <v>1861</v>
      </c>
      <c r="I32" s="26" t="s">
        <v>1839</v>
      </c>
      <c r="J32" s="26" t="s">
        <v>1856</v>
      </c>
    </row>
    <row r="33" spans="1:10" ht="45" x14ac:dyDescent="0.25">
      <c r="A33" t="s">
        <v>540</v>
      </c>
      <c r="B33" s="11" t="s">
        <v>541</v>
      </c>
      <c r="C33" s="26">
        <v>5</v>
      </c>
      <c r="D33" s="26">
        <v>2</v>
      </c>
      <c r="E33" s="26">
        <v>3</v>
      </c>
      <c r="F33" s="26">
        <v>0</v>
      </c>
      <c r="G33" s="26" t="s">
        <v>1835</v>
      </c>
      <c r="H33" s="26" t="s">
        <v>1859</v>
      </c>
      <c r="I33" s="26" t="s">
        <v>1839</v>
      </c>
      <c r="J33" s="26" t="s">
        <v>1856</v>
      </c>
    </row>
    <row r="34" spans="1:10" ht="30" x14ac:dyDescent="0.25">
      <c r="A34" t="s">
        <v>577</v>
      </c>
      <c r="B34" s="11" t="s">
        <v>578</v>
      </c>
      <c r="C34" s="26">
        <v>5</v>
      </c>
      <c r="D34" s="26">
        <v>1</v>
      </c>
      <c r="E34" s="26">
        <v>4</v>
      </c>
      <c r="F34" s="26">
        <v>0</v>
      </c>
      <c r="G34" s="26" t="s">
        <v>1836</v>
      </c>
      <c r="H34" s="26" t="s">
        <v>1862</v>
      </c>
      <c r="I34" s="26" t="s">
        <v>1839</v>
      </c>
      <c r="J34" s="26" t="s">
        <v>1856</v>
      </c>
    </row>
    <row r="35" spans="1:10" ht="30" x14ac:dyDescent="0.25">
      <c r="A35" t="s">
        <v>597</v>
      </c>
      <c r="B35" s="11" t="s">
        <v>598</v>
      </c>
      <c r="C35" s="26">
        <v>6</v>
      </c>
      <c r="D35" s="26">
        <v>0</v>
      </c>
      <c r="E35" s="26">
        <v>6</v>
      </c>
      <c r="F35" s="26">
        <v>0</v>
      </c>
      <c r="G35" s="26" t="s">
        <v>1839</v>
      </c>
      <c r="H35" s="26" t="s">
        <v>1861</v>
      </c>
      <c r="I35" s="26" t="s">
        <v>1839</v>
      </c>
      <c r="J35" s="26" t="s">
        <v>1856</v>
      </c>
    </row>
    <row r="36" spans="1:10" ht="30" x14ac:dyDescent="0.25">
      <c r="A36" t="s">
        <v>613</v>
      </c>
      <c r="B36" s="11" t="s">
        <v>614</v>
      </c>
      <c r="C36" s="26">
        <v>7</v>
      </c>
      <c r="D36" s="26">
        <v>0</v>
      </c>
      <c r="E36" s="26">
        <v>7</v>
      </c>
      <c r="F36" s="26">
        <v>0</v>
      </c>
      <c r="G36" s="26" t="s">
        <v>1839</v>
      </c>
      <c r="H36" s="26" t="s">
        <v>1861</v>
      </c>
      <c r="I36" s="26" t="s">
        <v>1839</v>
      </c>
      <c r="J36" s="26" t="s">
        <v>1856</v>
      </c>
    </row>
    <row r="37" spans="1:10" ht="30" x14ac:dyDescent="0.25">
      <c r="A37" t="s">
        <v>630</v>
      </c>
      <c r="B37" s="11" t="s">
        <v>631</v>
      </c>
      <c r="C37" s="26">
        <v>7</v>
      </c>
      <c r="D37" s="26">
        <v>3</v>
      </c>
      <c r="E37" s="26">
        <v>4</v>
      </c>
      <c r="F37" s="26">
        <v>0</v>
      </c>
      <c r="G37" s="26" t="s">
        <v>1845</v>
      </c>
      <c r="H37" s="26" t="s">
        <v>1864</v>
      </c>
      <c r="I37" s="26" t="s">
        <v>1839</v>
      </c>
      <c r="J37" s="26" t="s">
        <v>1856</v>
      </c>
    </row>
    <row r="38" spans="1:10" ht="30" x14ac:dyDescent="0.25">
      <c r="A38" t="s">
        <v>646</v>
      </c>
      <c r="B38" s="11" t="s">
        <v>647</v>
      </c>
      <c r="C38" s="26">
        <v>4</v>
      </c>
      <c r="D38" s="26">
        <v>1</v>
      </c>
      <c r="E38" s="26">
        <v>2</v>
      </c>
      <c r="F38" s="26">
        <v>1</v>
      </c>
      <c r="G38" s="26" t="s">
        <v>1855</v>
      </c>
      <c r="H38" s="26" t="s">
        <v>1838</v>
      </c>
      <c r="I38" s="26" t="s">
        <v>1855</v>
      </c>
      <c r="J38" s="26" t="s">
        <v>1856</v>
      </c>
    </row>
    <row r="39" spans="1:10" ht="30" x14ac:dyDescent="0.25">
      <c r="A39" t="s">
        <v>664</v>
      </c>
      <c r="B39" s="11" t="s">
        <v>665</v>
      </c>
      <c r="C39" s="26">
        <v>5</v>
      </c>
      <c r="D39" s="26">
        <v>0</v>
      </c>
      <c r="E39" s="26">
        <v>5</v>
      </c>
      <c r="F39" s="26">
        <v>0</v>
      </c>
      <c r="G39" s="26" t="s">
        <v>1839</v>
      </c>
      <c r="H39" s="26" t="s">
        <v>1861</v>
      </c>
      <c r="I39" s="26" t="s">
        <v>1839</v>
      </c>
      <c r="J39" s="26" t="s">
        <v>1856</v>
      </c>
    </row>
    <row r="40" spans="1:10" ht="30" x14ac:dyDescent="0.25">
      <c r="A40" t="s">
        <v>744</v>
      </c>
      <c r="B40" s="11" t="s">
        <v>745</v>
      </c>
      <c r="C40" s="26">
        <v>6</v>
      </c>
      <c r="D40" s="26">
        <v>2</v>
      </c>
      <c r="E40" s="26">
        <v>3</v>
      </c>
      <c r="F40" s="26">
        <v>1</v>
      </c>
      <c r="G40" s="26" t="s">
        <v>1833</v>
      </c>
      <c r="H40" s="26" t="s">
        <v>1838</v>
      </c>
      <c r="I40" s="26" t="s">
        <v>1841</v>
      </c>
      <c r="J40" s="26" t="s">
        <v>1856</v>
      </c>
    </row>
    <row r="41" spans="1:10" ht="30" x14ac:dyDescent="0.25">
      <c r="A41" t="s">
        <v>767</v>
      </c>
      <c r="B41" s="11" t="s">
        <v>768</v>
      </c>
      <c r="C41" s="26">
        <v>6</v>
      </c>
      <c r="D41" s="26">
        <v>2</v>
      </c>
      <c r="E41" s="26">
        <v>4</v>
      </c>
      <c r="F41" s="26">
        <v>0</v>
      </c>
      <c r="G41" s="26" t="s">
        <v>1833</v>
      </c>
      <c r="H41" s="26" t="s">
        <v>1844</v>
      </c>
      <c r="I41" s="26" t="s">
        <v>1839</v>
      </c>
      <c r="J41" s="26" t="s">
        <v>1856</v>
      </c>
    </row>
    <row r="42" spans="1:10" ht="30" x14ac:dyDescent="0.25">
      <c r="A42" t="s">
        <v>807</v>
      </c>
      <c r="B42" s="11" t="s">
        <v>808</v>
      </c>
      <c r="C42" s="26">
        <v>6</v>
      </c>
      <c r="D42" s="26">
        <v>1</v>
      </c>
      <c r="E42" s="26">
        <v>4</v>
      </c>
      <c r="F42" s="26">
        <v>1</v>
      </c>
      <c r="G42" s="26" t="s">
        <v>1841</v>
      </c>
      <c r="H42" s="26" t="s">
        <v>1844</v>
      </c>
      <c r="I42" s="26" t="s">
        <v>1841</v>
      </c>
      <c r="J42" s="26" t="s">
        <v>1856</v>
      </c>
    </row>
    <row r="43" spans="1:10" ht="30" x14ac:dyDescent="0.25">
      <c r="A43" t="s">
        <v>828</v>
      </c>
      <c r="B43" s="11" t="s">
        <v>829</v>
      </c>
      <c r="C43" s="26">
        <v>8</v>
      </c>
      <c r="D43" s="26">
        <v>2</v>
      </c>
      <c r="E43" s="26">
        <v>5</v>
      </c>
      <c r="F43" s="26">
        <v>1</v>
      </c>
      <c r="G43" s="41">
        <v>0.25</v>
      </c>
      <c r="H43" s="41">
        <v>0.63</v>
      </c>
      <c r="I43" s="41">
        <v>0.12</v>
      </c>
      <c r="J43" s="26" t="s">
        <v>1856</v>
      </c>
    </row>
    <row r="44" spans="1:10" ht="30" x14ac:dyDescent="0.25">
      <c r="A44" t="s">
        <v>703</v>
      </c>
      <c r="B44" s="11" t="s">
        <v>704</v>
      </c>
      <c r="C44" s="26">
        <v>1</v>
      </c>
      <c r="D44" s="26">
        <v>0</v>
      </c>
      <c r="E44" s="26">
        <v>0</v>
      </c>
      <c r="F44" s="26">
        <v>0</v>
      </c>
      <c r="G44" s="26" t="s">
        <v>1839</v>
      </c>
      <c r="H44" s="26" t="s">
        <v>1839</v>
      </c>
      <c r="I44" s="26" t="s">
        <v>1839</v>
      </c>
      <c r="J44" s="26" t="s">
        <v>1618</v>
      </c>
    </row>
  </sheetData>
  <autoFilter ref="A1:J1" xr:uid="{1CDDA67E-582C-40C9-B3BB-A16B6F0D09BC}">
    <sortState xmlns:xlrd2="http://schemas.microsoft.com/office/spreadsheetml/2017/richdata2" ref="A2:J44">
      <sortCondition ref="J1"/>
    </sortState>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5FC1D-2473-4EBA-971D-F3E06D7AFB52}">
  <dimension ref="A1:Z6"/>
  <sheetViews>
    <sheetView workbookViewId="0">
      <selection activeCell="B1" sqref="B1"/>
    </sheetView>
  </sheetViews>
  <sheetFormatPr defaultRowHeight="15" x14ac:dyDescent="0.25"/>
  <cols>
    <col min="1" max="1" width="30.140625" style="24" customWidth="1"/>
    <col min="2" max="2" width="9.140625" style="25"/>
    <col min="3" max="3" width="60.28515625" style="24" customWidth="1"/>
    <col min="4" max="4" width="58" style="24" customWidth="1"/>
    <col min="5" max="5" width="39.28515625" style="24" customWidth="1"/>
    <col min="6" max="8" width="22.28515625" style="19" customWidth="1"/>
    <col min="9" max="14" width="39.28515625" style="24" customWidth="1"/>
    <col min="15" max="26" width="30.140625" style="24" customWidth="1"/>
    <col min="27" max="16384" width="9.140625" style="24"/>
  </cols>
  <sheetData>
    <row r="1" spans="1:26" ht="60" x14ac:dyDescent="0.25">
      <c r="A1" s="29" t="s">
        <v>1865</v>
      </c>
      <c r="B1" s="29" t="s">
        <v>0</v>
      </c>
      <c r="C1" s="29" t="s">
        <v>1</v>
      </c>
      <c r="D1" s="29" t="s">
        <v>2</v>
      </c>
      <c r="E1" s="29" t="s">
        <v>3</v>
      </c>
      <c r="F1" s="28" t="s">
        <v>8</v>
      </c>
      <c r="G1" s="28" t="s">
        <v>9</v>
      </c>
      <c r="H1" s="28" t="s">
        <v>10</v>
      </c>
      <c r="I1" s="29" t="s">
        <v>1866</v>
      </c>
      <c r="J1" s="29" t="s">
        <v>1867</v>
      </c>
      <c r="K1" s="29" t="s">
        <v>15</v>
      </c>
      <c r="L1" s="29" t="s">
        <v>16</v>
      </c>
      <c r="M1" s="29" t="s">
        <v>17</v>
      </c>
      <c r="N1" s="29" t="s">
        <v>18</v>
      </c>
      <c r="O1" s="29" t="s">
        <v>19</v>
      </c>
      <c r="P1" s="29" t="s">
        <v>20</v>
      </c>
      <c r="Q1" s="29" t="s">
        <v>21</v>
      </c>
      <c r="R1" s="29" t="s">
        <v>22</v>
      </c>
      <c r="S1" s="29" t="s">
        <v>23</v>
      </c>
      <c r="T1" s="29" t="s">
        <v>24</v>
      </c>
      <c r="U1" s="29" t="s">
        <v>25</v>
      </c>
      <c r="V1" s="29" t="s">
        <v>26</v>
      </c>
      <c r="W1" s="29" t="s">
        <v>27</v>
      </c>
      <c r="X1" s="29" t="s">
        <v>28</v>
      </c>
      <c r="Y1" s="29" t="s">
        <v>29</v>
      </c>
      <c r="Z1" s="29" t="s">
        <v>30</v>
      </c>
    </row>
    <row r="2" spans="1:26" ht="180" x14ac:dyDescent="0.25">
      <c r="A2" s="24" t="s">
        <v>1868</v>
      </c>
      <c r="B2" s="25" t="s">
        <v>1869</v>
      </c>
      <c r="C2" s="24" t="s">
        <v>1870</v>
      </c>
      <c r="D2" s="24" t="s">
        <v>1871</v>
      </c>
      <c r="E2" s="24" t="s">
        <v>1872</v>
      </c>
      <c r="F2" s="19" t="s">
        <v>1873</v>
      </c>
      <c r="G2" s="19" t="s">
        <v>1874</v>
      </c>
      <c r="H2" s="19" t="s">
        <v>1875</v>
      </c>
      <c r="I2" s="24" t="s">
        <v>1876</v>
      </c>
      <c r="J2" s="24" t="s">
        <v>1877</v>
      </c>
      <c r="K2" s="24" t="s">
        <v>46</v>
      </c>
      <c r="L2" s="24" t="s">
        <v>1878</v>
      </c>
      <c r="M2" s="24" t="s">
        <v>48</v>
      </c>
      <c r="N2" s="24" t="s">
        <v>1879</v>
      </c>
      <c r="O2" s="24" t="s">
        <v>1880</v>
      </c>
      <c r="Q2" s="24" t="s">
        <v>202</v>
      </c>
      <c r="R2" s="24" t="s">
        <v>203</v>
      </c>
      <c r="S2" s="24" t="s">
        <v>1881</v>
      </c>
      <c r="T2" s="24" t="s">
        <v>205</v>
      </c>
      <c r="U2" s="24" t="s">
        <v>1882</v>
      </c>
      <c r="V2" s="24" t="s">
        <v>207</v>
      </c>
      <c r="W2" s="24" t="s">
        <v>208</v>
      </c>
      <c r="X2" s="24" t="s">
        <v>209</v>
      </c>
      <c r="Y2" s="24" t="s">
        <v>1883</v>
      </c>
      <c r="Z2" s="24" t="s">
        <v>58</v>
      </c>
    </row>
    <row r="3" spans="1:26" ht="225" x14ac:dyDescent="0.25">
      <c r="A3" s="24" t="s">
        <v>1884</v>
      </c>
      <c r="B3" s="25" t="s">
        <v>1885</v>
      </c>
      <c r="C3" s="24" t="s">
        <v>1886</v>
      </c>
      <c r="D3" s="24" t="s">
        <v>1887</v>
      </c>
      <c r="E3" s="24" t="s">
        <v>1888</v>
      </c>
      <c r="F3" s="19" t="s">
        <v>1889</v>
      </c>
      <c r="G3" s="19" t="s">
        <v>1890</v>
      </c>
      <c r="H3" s="19" t="s">
        <v>1891</v>
      </c>
      <c r="I3" s="24" t="s">
        <v>1892</v>
      </c>
      <c r="J3" s="24" t="s">
        <v>1893</v>
      </c>
      <c r="K3" s="24" t="s">
        <v>46</v>
      </c>
      <c r="L3" s="24" t="s">
        <v>1894</v>
      </c>
      <c r="M3" s="24" t="s">
        <v>48</v>
      </c>
      <c r="N3" s="24" t="s">
        <v>203</v>
      </c>
      <c r="O3" s="24" t="s">
        <v>246</v>
      </c>
      <c r="Q3" s="24" t="s">
        <v>247</v>
      </c>
      <c r="R3" s="24" t="s">
        <v>203</v>
      </c>
      <c r="S3" s="24" t="s">
        <v>1895</v>
      </c>
      <c r="T3" s="24" t="s">
        <v>249</v>
      </c>
      <c r="U3" s="24" t="s">
        <v>1896</v>
      </c>
      <c r="V3" s="24" t="s">
        <v>251</v>
      </c>
      <c r="W3" s="24" t="s">
        <v>252</v>
      </c>
      <c r="X3" s="24" t="s">
        <v>253</v>
      </c>
      <c r="Y3" s="24" t="s">
        <v>1897</v>
      </c>
      <c r="Z3" s="24" t="s">
        <v>58</v>
      </c>
    </row>
    <row r="4" spans="1:26" ht="90" x14ac:dyDescent="0.25">
      <c r="A4" s="24" t="s">
        <v>1898</v>
      </c>
      <c r="B4" s="25" t="s">
        <v>1899</v>
      </c>
      <c r="C4" s="24" t="s">
        <v>1900</v>
      </c>
      <c r="D4" s="24" t="s">
        <v>1901</v>
      </c>
      <c r="E4" s="24" t="s">
        <v>1902</v>
      </c>
      <c r="F4" s="19" t="s">
        <v>1903</v>
      </c>
      <c r="G4" s="19" t="s">
        <v>1904</v>
      </c>
      <c r="H4" s="19" t="s">
        <v>1905</v>
      </c>
      <c r="I4" s="24" t="s">
        <v>1906</v>
      </c>
      <c r="J4" s="24" t="s">
        <v>1907</v>
      </c>
      <c r="K4" s="24" t="s">
        <v>46</v>
      </c>
      <c r="L4" s="24" t="s">
        <v>1908</v>
      </c>
      <c r="M4" s="24" t="s">
        <v>270</v>
      </c>
      <c r="N4" s="24" t="s">
        <v>49</v>
      </c>
      <c r="O4" s="24" t="s">
        <v>50</v>
      </c>
      <c r="Q4" s="24" t="s">
        <v>348</v>
      </c>
      <c r="R4" s="24" t="s">
        <v>348</v>
      </c>
      <c r="S4" s="24" t="s">
        <v>1909</v>
      </c>
      <c r="T4" s="24" t="s">
        <v>52</v>
      </c>
      <c r="U4" s="24" t="s">
        <v>1910</v>
      </c>
      <c r="V4" s="24" t="s">
        <v>54</v>
      </c>
      <c r="W4" s="24" t="s">
        <v>55</v>
      </c>
      <c r="X4" s="24" t="s">
        <v>681</v>
      </c>
      <c r="Y4" s="24" t="s">
        <v>1911</v>
      </c>
      <c r="Z4" s="24" t="s">
        <v>58</v>
      </c>
    </row>
    <row r="5" spans="1:26" ht="90" x14ac:dyDescent="0.25">
      <c r="A5" s="24" t="s">
        <v>1912</v>
      </c>
      <c r="B5" s="25" t="s">
        <v>1913</v>
      </c>
      <c r="C5" s="24" t="s">
        <v>1914</v>
      </c>
      <c r="D5" s="24" t="s">
        <v>1915</v>
      </c>
      <c r="E5" s="24" t="s">
        <v>1916</v>
      </c>
      <c r="F5" s="19" t="s">
        <v>1917</v>
      </c>
      <c r="G5" s="19" t="s">
        <v>1918</v>
      </c>
      <c r="H5" s="19" t="s">
        <v>1919</v>
      </c>
      <c r="I5" s="24" t="s">
        <v>1920</v>
      </c>
      <c r="J5" s="24" t="s">
        <v>1921</v>
      </c>
      <c r="K5" s="24" t="s">
        <v>46</v>
      </c>
      <c r="L5" s="24" t="s">
        <v>1922</v>
      </c>
      <c r="M5" s="24" t="s">
        <v>270</v>
      </c>
      <c r="N5" s="24" t="s">
        <v>203</v>
      </c>
      <c r="O5" s="24" t="s">
        <v>246</v>
      </c>
      <c r="Q5" s="24" t="s">
        <v>247</v>
      </c>
      <c r="R5" s="24" t="s">
        <v>203</v>
      </c>
      <c r="S5" s="24" t="s">
        <v>1923</v>
      </c>
      <c r="T5" s="24" t="s">
        <v>249</v>
      </c>
      <c r="U5" s="24" t="s">
        <v>250</v>
      </c>
      <c r="V5" s="24" t="s">
        <v>251</v>
      </c>
      <c r="W5" s="24" t="s">
        <v>252</v>
      </c>
      <c r="X5" s="24" t="s">
        <v>253</v>
      </c>
      <c r="Y5" s="24" t="s">
        <v>1924</v>
      </c>
      <c r="Z5" s="24" t="s">
        <v>58</v>
      </c>
    </row>
    <row r="6" spans="1:26" ht="60" x14ac:dyDescent="0.25">
      <c r="A6" s="24" t="s">
        <v>1925</v>
      </c>
      <c r="B6" s="25" t="s">
        <v>1926</v>
      </c>
      <c r="C6" s="24" t="s">
        <v>1927</v>
      </c>
      <c r="D6" s="24" t="s">
        <v>1928</v>
      </c>
      <c r="E6" s="24" t="s">
        <v>1929</v>
      </c>
      <c r="F6" s="19" t="s">
        <v>1930</v>
      </c>
      <c r="G6" s="19" t="s">
        <v>1931</v>
      </c>
      <c r="H6" s="19" t="s">
        <v>1932</v>
      </c>
      <c r="I6" s="24" t="s">
        <v>1933</v>
      </c>
      <c r="J6" s="24" t="s">
        <v>1934</v>
      </c>
      <c r="K6" s="24" t="s">
        <v>1935</v>
      </c>
      <c r="L6" s="24" t="s">
        <v>1936</v>
      </c>
      <c r="M6" s="24" t="s">
        <v>244</v>
      </c>
      <c r="N6" s="24" t="s">
        <v>225</v>
      </c>
      <c r="O6" s="24" t="s">
        <v>50</v>
      </c>
      <c r="P6" s="24" t="s">
        <v>737</v>
      </c>
      <c r="Q6" s="24" t="s">
        <v>348</v>
      </c>
      <c r="R6" s="24" t="s">
        <v>348</v>
      </c>
      <c r="S6" s="24" t="s">
        <v>1937</v>
      </c>
      <c r="T6" s="24" t="s">
        <v>52</v>
      </c>
      <c r="U6" s="24" t="s">
        <v>1938</v>
      </c>
      <c r="V6" s="24" t="s">
        <v>1939</v>
      </c>
      <c r="W6" s="24" t="s">
        <v>1940</v>
      </c>
      <c r="X6" s="24" t="s">
        <v>1941</v>
      </c>
      <c r="Y6" s="24" t="s">
        <v>1942</v>
      </c>
      <c r="Z6" s="24" t="s">
        <v>58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10A882-34F6-4FCA-9F3C-A767F8EB954B}">
  <dimension ref="A1:G43"/>
  <sheetViews>
    <sheetView workbookViewId="0">
      <selection activeCell="D1" sqref="D1:D1048576"/>
    </sheetView>
  </sheetViews>
  <sheetFormatPr defaultRowHeight="15" x14ac:dyDescent="0.25"/>
  <cols>
    <col min="1" max="1" width="9.140625" customWidth="1"/>
    <col min="2" max="2" width="53.7109375" customWidth="1"/>
    <col min="3" max="3" width="9" customWidth="1"/>
    <col min="4" max="4" width="65.42578125" customWidth="1"/>
    <col min="5" max="5" width="20.5703125" customWidth="1"/>
    <col min="6" max="6" width="38.85546875" customWidth="1"/>
    <col min="7" max="7" width="65.140625" customWidth="1"/>
  </cols>
  <sheetData>
    <row r="1" spans="1:7" x14ac:dyDescent="0.25">
      <c r="A1" s="27" t="s">
        <v>1943</v>
      </c>
      <c r="B1" s="27" t="s">
        <v>1944</v>
      </c>
      <c r="C1" s="27" t="s">
        <v>0</v>
      </c>
      <c r="D1" s="27" t="s">
        <v>1</v>
      </c>
      <c r="E1" s="27" t="s">
        <v>17</v>
      </c>
      <c r="F1" s="27" t="s">
        <v>19</v>
      </c>
      <c r="G1" s="27" t="s">
        <v>23</v>
      </c>
    </row>
    <row r="2" spans="1:7" x14ac:dyDescent="0.25">
      <c r="A2">
        <v>1</v>
      </c>
      <c r="B2" t="s">
        <v>134</v>
      </c>
      <c r="C2" t="s">
        <v>121</v>
      </c>
      <c r="D2" t="s">
        <v>122</v>
      </c>
      <c r="E2" t="s">
        <v>48</v>
      </c>
      <c r="F2" t="s">
        <v>1945</v>
      </c>
      <c r="G2" t="s">
        <v>136</v>
      </c>
    </row>
    <row r="3" spans="1:7" x14ac:dyDescent="0.25">
      <c r="A3">
        <v>2</v>
      </c>
      <c r="B3" t="s">
        <v>134</v>
      </c>
      <c r="C3" t="s">
        <v>283</v>
      </c>
      <c r="D3" t="s">
        <v>284</v>
      </c>
      <c r="E3" t="s">
        <v>48</v>
      </c>
      <c r="F3" t="s">
        <v>295</v>
      </c>
      <c r="G3" t="s">
        <v>296</v>
      </c>
    </row>
    <row r="4" spans="1:7" x14ac:dyDescent="0.25">
      <c r="A4">
        <v>3</v>
      </c>
      <c r="B4" t="s">
        <v>368</v>
      </c>
      <c r="C4" t="s">
        <v>356</v>
      </c>
      <c r="D4" t="s">
        <v>1858</v>
      </c>
      <c r="E4" t="s">
        <v>270</v>
      </c>
      <c r="F4" t="s">
        <v>1946</v>
      </c>
      <c r="G4" t="s">
        <v>369</v>
      </c>
    </row>
    <row r="5" spans="1:7" x14ac:dyDescent="0.25">
      <c r="A5">
        <v>4</v>
      </c>
      <c r="B5" t="s">
        <v>134</v>
      </c>
      <c r="C5" t="s">
        <v>392</v>
      </c>
      <c r="D5" t="s">
        <v>393</v>
      </c>
      <c r="E5" t="s">
        <v>270</v>
      </c>
      <c r="F5" t="s">
        <v>113</v>
      </c>
      <c r="G5" t="s">
        <v>404</v>
      </c>
    </row>
    <row r="6" spans="1:7" x14ac:dyDescent="0.25">
      <c r="A6">
        <v>5</v>
      </c>
      <c r="B6" t="s">
        <v>368</v>
      </c>
      <c r="C6" t="s">
        <v>577</v>
      </c>
      <c r="D6" t="s">
        <v>578</v>
      </c>
      <c r="E6" t="s">
        <v>270</v>
      </c>
      <c r="F6" t="s">
        <v>1947</v>
      </c>
      <c r="G6" t="s">
        <v>590</v>
      </c>
    </row>
    <row r="7" spans="1:7" x14ac:dyDescent="0.25">
      <c r="A7">
        <v>6</v>
      </c>
      <c r="B7" t="s">
        <v>368</v>
      </c>
      <c r="C7" t="s">
        <v>630</v>
      </c>
      <c r="D7" t="s">
        <v>631</v>
      </c>
      <c r="E7" t="s">
        <v>625</v>
      </c>
      <c r="F7" t="s">
        <v>642</v>
      </c>
      <c r="G7" t="s">
        <v>643</v>
      </c>
    </row>
    <row r="8" spans="1:7" x14ac:dyDescent="0.25">
      <c r="A8">
        <v>7</v>
      </c>
      <c r="B8" t="s">
        <v>368</v>
      </c>
      <c r="C8" t="s">
        <v>787</v>
      </c>
      <c r="D8" t="s">
        <v>788</v>
      </c>
      <c r="E8" t="s">
        <v>48</v>
      </c>
      <c r="F8" t="s">
        <v>800</v>
      </c>
      <c r="G8" t="s">
        <v>801</v>
      </c>
    </row>
    <row r="9" spans="1:7" x14ac:dyDescent="0.25">
      <c r="A9">
        <v>8</v>
      </c>
      <c r="B9" t="s">
        <v>49</v>
      </c>
      <c r="C9" t="s">
        <v>33</v>
      </c>
      <c r="D9" t="s">
        <v>34</v>
      </c>
      <c r="E9" t="s">
        <v>48</v>
      </c>
      <c r="F9" t="s">
        <v>50</v>
      </c>
      <c r="G9" t="s">
        <v>51</v>
      </c>
    </row>
    <row r="10" spans="1:7" x14ac:dyDescent="0.25">
      <c r="A10">
        <v>9</v>
      </c>
      <c r="B10" t="s">
        <v>49</v>
      </c>
      <c r="C10" t="s">
        <v>60</v>
      </c>
      <c r="D10" t="s">
        <v>61</v>
      </c>
      <c r="E10" t="s">
        <v>48</v>
      </c>
      <c r="F10" t="s">
        <v>1948</v>
      </c>
      <c r="G10" t="s">
        <v>73</v>
      </c>
    </row>
    <row r="11" spans="1:7" x14ac:dyDescent="0.25">
      <c r="A11">
        <v>10</v>
      </c>
      <c r="B11" t="s">
        <v>49</v>
      </c>
      <c r="C11" t="s">
        <v>376</v>
      </c>
      <c r="D11" t="s">
        <v>1860</v>
      </c>
      <c r="E11" t="s">
        <v>270</v>
      </c>
      <c r="F11" t="s">
        <v>1949</v>
      </c>
      <c r="G11" t="s">
        <v>388</v>
      </c>
    </row>
    <row r="12" spans="1:7" x14ac:dyDescent="0.25">
      <c r="A12">
        <v>11</v>
      </c>
      <c r="B12" t="s">
        <v>49</v>
      </c>
      <c r="C12" t="s">
        <v>1378</v>
      </c>
      <c r="D12" t="s">
        <v>1863</v>
      </c>
      <c r="E12" t="s">
        <v>270</v>
      </c>
      <c r="F12" t="s">
        <v>1950</v>
      </c>
      <c r="G12" t="s">
        <v>1951</v>
      </c>
    </row>
    <row r="13" spans="1:7" x14ac:dyDescent="0.25">
      <c r="A13">
        <v>12</v>
      </c>
      <c r="B13" t="s">
        <v>348</v>
      </c>
      <c r="C13" t="s">
        <v>337</v>
      </c>
      <c r="D13" t="s">
        <v>338</v>
      </c>
      <c r="E13" t="s">
        <v>270</v>
      </c>
      <c r="F13" t="s">
        <v>50</v>
      </c>
      <c r="G13" t="s">
        <v>349</v>
      </c>
    </row>
    <row r="14" spans="1:7" x14ac:dyDescent="0.25">
      <c r="A14">
        <v>13</v>
      </c>
      <c r="B14" t="s">
        <v>421</v>
      </c>
      <c r="C14" t="s">
        <v>409</v>
      </c>
      <c r="D14" t="s">
        <v>410</v>
      </c>
      <c r="E14" t="s">
        <v>270</v>
      </c>
      <c r="F14" t="s">
        <v>1952</v>
      </c>
      <c r="G14" t="s">
        <v>422</v>
      </c>
    </row>
    <row r="15" spans="1:7" x14ac:dyDescent="0.25">
      <c r="A15">
        <v>14</v>
      </c>
      <c r="B15" t="s">
        <v>348</v>
      </c>
      <c r="C15" t="s">
        <v>646</v>
      </c>
      <c r="D15" t="s">
        <v>647</v>
      </c>
      <c r="E15" t="s">
        <v>625</v>
      </c>
      <c r="F15" t="s">
        <v>50</v>
      </c>
      <c r="G15" t="s">
        <v>658</v>
      </c>
    </row>
    <row r="16" spans="1:7" x14ac:dyDescent="0.25">
      <c r="A16">
        <v>15</v>
      </c>
      <c r="B16" t="s">
        <v>225</v>
      </c>
      <c r="C16" t="s">
        <v>211</v>
      </c>
      <c r="D16" t="s">
        <v>212</v>
      </c>
      <c r="E16" t="s">
        <v>48</v>
      </c>
      <c r="F16" t="s">
        <v>1953</v>
      </c>
      <c r="G16" t="s">
        <v>226</v>
      </c>
    </row>
    <row r="17" spans="1:7" x14ac:dyDescent="0.25">
      <c r="A17">
        <v>16</v>
      </c>
      <c r="B17" t="s">
        <v>225</v>
      </c>
      <c r="C17" t="s">
        <v>558</v>
      </c>
      <c r="D17" t="s">
        <v>559</v>
      </c>
      <c r="E17" t="s">
        <v>270</v>
      </c>
      <c r="F17" t="s">
        <v>1950</v>
      </c>
      <c r="G17" t="s">
        <v>570</v>
      </c>
    </row>
    <row r="18" spans="1:7" x14ac:dyDescent="0.25">
      <c r="A18">
        <v>17</v>
      </c>
      <c r="B18" t="s">
        <v>155</v>
      </c>
      <c r="C18" t="s">
        <v>140</v>
      </c>
      <c r="D18" t="s">
        <v>141</v>
      </c>
      <c r="E18" t="s">
        <v>48</v>
      </c>
      <c r="F18" t="s">
        <v>1954</v>
      </c>
      <c r="G18" t="s">
        <v>157</v>
      </c>
    </row>
    <row r="19" spans="1:7" x14ac:dyDescent="0.25">
      <c r="A19">
        <v>18</v>
      </c>
      <c r="B19" t="s">
        <v>178</v>
      </c>
      <c r="C19" t="s">
        <v>164</v>
      </c>
      <c r="D19" t="s">
        <v>165</v>
      </c>
      <c r="E19" t="s">
        <v>48</v>
      </c>
      <c r="F19" t="s">
        <v>1955</v>
      </c>
      <c r="G19" t="s">
        <v>179</v>
      </c>
    </row>
    <row r="20" spans="1:7" x14ac:dyDescent="0.25">
      <c r="A20">
        <v>19</v>
      </c>
      <c r="B20" t="s">
        <v>156</v>
      </c>
      <c r="C20" t="s">
        <v>1061</v>
      </c>
      <c r="D20" t="s">
        <v>1843</v>
      </c>
      <c r="E20" t="s">
        <v>48</v>
      </c>
      <c r="F20" t="s">
        <v>1950</v>
      </c>
      <c r="G20" t="s">
        <v>1956</v>
      </c>
    </row>
    <row r="21" spans="1:7" x14ac:dyDescent="0.25">
      <c r="A21">
        <v>20</v>
      </c>
      <c r="B21" t="s">
        <v>312</v>
      </c>
      <c r="C21" t="s">
        <v>300</v>
      </c>
      <c r="D21" t="s">
        <v>301</v>
      </c>
      <c r="E21" t="s">
        <v>48</v>
      </c>
      <c r="F21" t="s">
        <v>295</v>
      </c>
      <c r="G21" t="s">
        <v>313</v>
      </c>
    </row>
    <row r="22" spans="1:7" x14ac:dyDescent="0.25">
      <c r="A22">
        <v>21</v>
      </c>
      <c r="B22" t="s">
        <v>90</v>
      </c>
      <c r="C22" t="s">
        <v>319</v>
      </c>
      <c r="D22" t="s">
        <v>320</v>
      </c>
      <c r="E22" t="s">
        <v>48</v>
      </c>
      <c r="F22" t="s">
        <v>331</v>
      </c>
      <c r="G22" t="s">
        <v>332</v>
      </c>
    </row>
    <row r="23" spans="1:7" x14ac:dyDescent="0.25">
      <c r="A23">
        <v>22</v>
      </c>
      <c r="B23" t="s">
        <v>92</v>
      </c>
      <c r="C23" t="s">
        <v>77</v>
      </c>
      <c r="D23" t="s">
        <v>1857</v>
      </c>
      <c r="E23" t="s">
        <v>48</v>
      </c>
      <c r="F23" t="s">
        <v>1949</v>
      </c>
      <c r="G23" t="s">
        <v>94</v>
      </c>
    </row>
    <row r="24" spans="1:7" x14ac:dyDescent="0.25">
      <c r="A24">
        <v>23</v>
      </c>
      <c r="B24" t="s">
        <v>626</v>
      </c>
      <c r="C24" t="s">
        <v>613</v>
      </c>
      <c r="D24" t="s">
        <v>614</v>
      </c>
      <c r="E24" t="s">
        <v>625</v>
      </c>
      <c r="F24" t="s">
        <v>1950</v>
      </c>
      <c r="G24" t="s">
        <v>627</v>
      </c>
    </row>
    <row r="25" spans="1:7" x14ac:dyDescent="0.25">
      <c r="A25">
        <v>24</v>
      </c>
      <c r="B25" t="s">
        <v>112</v>
      </c>
      <c r="C25" t="s">
        <v>99</v>
      </c>
      <c r="D25" t="s">
        <v>100</v>
      </c>
      <c r="E25" t="s">
        <v>48</v>
      </c>
      <c r="F25" t="s">
        <v>113</v>
      </c>
      <c r="G25" t="s">
        <v>114</v>
      </c>
    </row>
    <row r="26" spans="1:7" x14ac:dyDescent="0.25">
      <c r="A26">
        <v>25</v>
      </c>
      <c r="B26" t="s">
        <v>202</v>
      </c>
      <c r="C26" t="s">
        <v>187</v>
      </c>
      <c r="D26" t="s">
        <v>188</v>
      </c>
      <c r="E26" t="s">
        <v>48</v>
      </c>
      <c r="F26" t="s">
        <v>201</v>
      </c>
      <c r="G26" t="s">
        <v>204</v>
      </c>
    </row>
    <row r="27" spans="1:7" x14ac:dyDescent="0.25">
      <c r="A27">
        <v>26</v>
      </c>
      <c r="B27" t="s">
        <v>202</v>
      </c>
      <c r="C27" t="s">
        <v>257</v>
      </c>
      <c r="D27" t="s">
        <v>1849</v>
      </c>
      <c r="E27" t="s">
        <v>48</v>
      </c>
      <c r="F27" t="s">
        <v>271</v>
      </c>
      <c r="G27" t="s">
        <v>272</v>
      </c>
    </row>
    <row r="28" spans="1:7" x14ac:dyDescent="0.25">
      <c r="A28">
        <v>27</v>
      </c>
      <c r="B28" t="s">
        <v>247</v>
      </c>
      <c r="C28" t="s">
        <v>232</v>
      </c>
      <c r="D28" t="s">
        <v>233</v>
      </c>
      <c r="E28" t="s">
        <v>244</v>
      </c>
      <c r="F28" t="s">
        <v>246</v>
      </c>
      <c r="G28" t="s">
        <v>248</v>
      </c>
    </row>
    <row r="29" spans="1:7" x14ac:dyDescent="0.25">
      <c r="A29">
        <v>28</v>
      </c>
      <c r="B29" t="s">
        <v>247</v>
      </c>
      <c r="C29" t="s">
        <v>508</v>
      </c>
      <c r="D29" t="s">
        <v>509</v>
      </c>
      <c r="E29" t="s">
        <v>270</v>
      </c>
      <c r="F29" t="s">
        <v>246</v>
      </c>
      <c r="G29" t="s">
        <v>520</v>
      </c>
    </row>
    <row r="30" spans="1:7" x14ac:dyDescent="0.25">
      <c r="A30">
        <v>29</v>
      </c>
      <c r="B30" t="s">
        <v>247</v>
      </c>
      <c r="C30" t="s">
        <v>525</v>
      </c>
      <c r="D30" t="s">
        <v>1853</v>
      </c>
      <c r="E30" t="s">
        <v>270</v>
      </c>
      <c r="F30" t="s">
        <v>246</v>
      </c>
      <c r="G30" t="s">
        <v>536</v>
      </c>
    </row>
    <row r="31" spans="1:7" x14ac:dyDescent="0.25">
      <c r="A31">
        <v>30</v>
      </c>
      <c r="B31" t="s">
        <v>483</v>
      </c>
      <c r="C31" t="s">
        <v>473</v>
      </c>
      <c r="D31" t="s">
        <v>474</v>
      </c>
      <c r="E31" t="s">
        <v>270</v>
      </c>
      <c r="F31" t="s">
        <v>201</v>
      </c>
      <c r="G31" t="s">
        <v>484</v>
      </c>
    </row>
    <row r="32" spans="1:7" x14ac:dyDescent="0.25">
      <c r="A32">
        <v>31</v>
      </c>
      <c r="B32" t="s">
        <v>483</v>
      </c>
      <c r="C32" t="s">
        <v>491</v>
      </c>
      <c r="D32" t="s">
        <v>492</v>
      </c>
      <c r="E32" t="s">
        <v>270</v>
      </c>
      <c r="F32" t="s">
        <v>201</v>
      </c>
      <c r="G32" t="s">
        <v>502</v>
      </c>
    </row>
    <row r="33" spans="1:7" x14ac:dyDescent="0.25">
      <c r="A33">
        <v>32</v>
      </c>
      <c r="B33" t="s">
        <v>443</v>
      </c>
      <c r="C33" t="s">
        <v>431</v>
      </c>
      <c r="D33" t="s">
        <v>432</v>
      </c>
      <c r="E33" t="s">
        <v>270</v>
      </c>
      <c r="F33" t="s">
        <v>1957</v>
      </c>
      <c r="G33" t="s">
        <v>444</v>
      </c>
    </row>
    <row r="34" spans="1:7" x14ac:dyDescent="0.25">
      <c r="A34">
        <v>33</v>
      </c>
      <c r="B34" t="s">
        <v>443</v>
      </c>
      <c r="C34" t="s">
        <v>454</v>
      </c>
      <c r="D34" t="s">
        <v>455</v>
      </c>
      <c r="E34" t="s">
        <v>270</v>
      </c>
      <c r="F34" t="s">
        <v>1950</v>
      </c>
      <c r="G34" t="s">
        <v>467</v>
      </c>
    </row>
    <row r="35" spans="1:7" x14ac:dyDescent="0.25">
      <c r="A35">
        <v>34</v>
      </c>
      <c r="B35" t="s">
        <v>443</v>
      </c>
      <c r="C35" t="s">
        <v>540</v>
      </c>
      <c r="D35" t="s">
        <v>541</v>
      </c>
      <c r="E35" t="s">
        <v>270</v>
      </c>
      <c r="F35" t="s">
        <v>1946</v>
      </c>
      <c r="G35" t="s">
        <v>551</v>
      </c>
    </row>
    <row r="36" spans="1:7" x14ac:dyDescent="0.25">
      <c r="A36">
        <v>35</v>
      </c>
      <c r="B36" t="s">
        <v>608</v>
      </c>
      <c r="C36" t="s">
        <v>597</v>
      </c>
      <c r="D36" t="s">
        <v>598</v>
      </c>
      <c r="E36" t="s">
        <v>270</v>
      </c>
      <c r="F36" t="s">
        <v>1957</v>
      </c>
      <c r="G36" t="s">
        <v>609</v>
      </c>
    </row>
    <row r="37" spans="1:7" x14ac:dyDescent="0.25">
      <c r="A37">
        <v>36</v>
      </c>
      <c r="B37" t="s">
        <v>676</v>
      </c>
      <c r="C37" t="s">
        <v>664</v>
      </c>
      <c r="D37" t="s">
        <v>665</v>
      </c>
      <c r="E37" t="s">
        <v>625</v>
      </c>
      <c r="F37" t="s">
        <v>50</v>
      </c>
      <c r="G37" t="s">
        <v>677</v>
      </c>
    </row>
    <row r="38" spans="1:7" x14ac:dyDescent="0.25">
      <c r="A38">
        <v>37</v>
      </c>
      <c r="B38" t="s">
        <v>696</v>
      </c>
      <c r="C38" t="s">
        <v>683</v>
      </c>
      <c r="D38" t="s">
        <v>684</v>
      </c>
      <c r="E38" t="s">
        <v>625</v>
      </c>
      <c r="F38" t="s">
        <v>695</v>
      </c>
      <c r="G38" t="s">
        <v>697</v>
      </c>
    </row>
    <row r="39" spans="1:7" x14ac:dyDescent="0.25">
      <c r="A39">
        <v>38</v>
      </c>
      <c r="B39" t="s">
        <v>676</v>
      </c>
      <c r="C39" t="s">
        <v>703</v>
      </c>
      <c r="D39" t="s">
        <v>704</v>
      </c>
      <c r="E39" t="s">
        <v>715</v>
      </c>
      <c r="F39" t="s">
        <v>716</v>
      </c>
      <c r="G39" t="s">
        <v>717</v>
      </c>
    </row>
    <row r="40" spans="1:7" x14ac:dyDescent="0.25">
      <c r="A40">
        <v>39</v>
      </c>
      <c r="B40" t="s">
        <v>738</v>
      </c>
      <c r="C40" t="s">
        <v>723</v>
      </c>
      <c r="D40" t="s">
        <v>724</v>
      </c>
      <c r="E40" t="s">
        <v>244</v>
      </c>
      <c r="F40" t="s">
        <v>736</v>
      </c>
      <c r="G40" t="s">
        <v>739</v>
      </c>
    </row>
    <row r="41" spans="1:7" x14ac:dyDescent="0.25">
      <c r="A41">
        <v>40</v>
      </c>
      <c r="B41" t="s">
        <v>759</v>
      </c>
      <c r="C41" t="s">
        <v>744</v>
      </c>
      <c r="D41" t="s">
        <v>745</v>
      </c>
      <c r="E41" t="s">
        <v>756</v>
      </c>
      <c r="F41" t="s">
        <v>758</v>
      </c>
      <c r="G41" t="s">
        <v>760</v>
      </c>
    </row>
    <row r="42" spans="1:7" x14ac:dyDescent="0.25">
      <c r="A42">
        <v>41</v>
      </c>
      <c r="B42" t="s">
        <v>781</v>
      </c>
      <c r="C42" t="s">
        <v>767</v>
      </c>
      <c r="D42" t="s">
        <v>768</v>
      </c>
      <c r="E42" t="s">
        <v>244</v>
      </c>
      <c r="F42" t="s">
        <v>780</v>
      </c>
      <c r="G42" t="s">
        <v>782</v>
      </c>
    </row>
    <row r="43" spans="1:7" x14ac:dyDescent="0.25">
      <c r="A43">
        <v>42</v>
      </c>
      <c r="B43" t="s">
        <v>821</v>
      </c>
      <c r="C43" t="s">
        <v>807</v>
      </c>
      <c r="D43" t="s">
        <v>808</v>
      </c>
      <c r="E43" t="s">
        <v>270</v>
      </c>
      <c r="F43" t="s">
        <v>113</v>
      </c>
      <c r="G43" t="s">
        <v>822</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7CE49-24A4-4EA8-9981-4F09A1DDEB66}">
  <dimension ref="A1:AA45"/>
  <sheetViews>
    <sheetView topLeftCell="A11" zoomScale="130" zoomScaleNormal="130" workbookViewId="0">
      <selection activeCell="A29" sqref="A29"/>
    </sheetView>
  </sheetViews>
  <sheetFormatPr defaultRowHeight="15" x14ac:dyDescent="0.25"/>
  <cols>
    <col min="1" max="1" width="9.140625" style="26"/>
    <col min="2" max="2" width="70" style="24" customWidth="1"/>
    <col min="3" max="3" width="38.5703125" style="19" customWidth="1"/>
    <col min="4" max="4" width="40.5703125" style="19" customWidth="1"/>
    <col min="5" max="5" width="20.85546875" style="26" customWidth="1"/>
    <col min="6" max="6" width="36.42578125" style="26" customWidth="1"/>
    <col min="7" max="7" width="41.42578125" style="26" customWidth="1"/>
    <col min="8" max="12" width="15.85546875" style="25" customWidth="1"/>
    <col min="13" max="13" width="15.5703125" style="25" customWidth="1"/>
    <col min="14" max="18" width="12.5703125" style="25" customWidth="1"/>
    <col min="19" max="19" width="19.5703125" style="25" customWidth="1"/>
    <col min="20" max="21" width="13.85546875" style="25" customWidth="1"/>
    <col min="22" max="22" width="11.7109375" style="26" customWidth="1"/>
    <col min="23" max="16384" width="9.140625" style="19"/>
  </cols>
  <sheetData>
    <row r="1" spans="1:22" ht="60" x14ac:dyDescent="0.25">
      <c r="A1" s="17" t="s">
        <v>0</v>
      </c>
      <c r="B1" s="18" t="s">
        <v>1</v>
      </c>
      <c r="C1" s="17" t="s">
        <v>2</v>
      </c>
      <c r="D1" s="17" t="s">
        <v>3</v>
      </c>
      <c r="E1" s="17" t="s">
        <v>10</v>
      </c>
      <c r="F1" s="37" t="s">
        <v>11</v>
      </c>
      <c r="G1" s="37" t="s">
        <v>12</v>
      </c>
      <c r="H1" s="29" t="s">
        <v>1958</v>
      </c>
      <c r="I1" s="29" t="s">
        <v>1959</v>
      </c>
      <c r="J1" s="29" t="s">
        <v>1960</v>
      </c>
      <c r="K1" s="29" t="s">
        <v>1961</v>
      </c>
      <c r="L1" s="29" t="s">
        <v>1962</v>
      </c>
      <c r="M1" s="18" t="s">
        <v>1963</v>
      </c>
      <c r="N1" s="29" t="s">
        <v>1964</v>
      </c>
      <c r="O1" s="29" t="s">
        <v>1965</v>
      </c>
      <c r="P1" s="29" t="s">
        <v>1966</v>
      </c>
      <c r="Q1" s="29" t="s">
        <v>1967</v>
      </c>
      <c r="R1" s="29" t="s">
        <v>1968</v>
      </c>
      <c r="S1" s="18" t="s">
        <v>1969</v>
      </c>
      <c r="T1" s="29" t="s">
        <v>1970</v>
      </c>
      <c r="U1" s="18" t="s">
        <v>1971</v>
      </c>
      <c r="V1" s="18" t="s">
        <v>1972</v>
      </c>
    </row>
    <row r="2" spans="1:22" x14ac:dyDescent="0.25">
      <c r="A2" s="20" t="s">
        <v>33</v>
      </c>
      <c r="B2" s="21" t="s">
        <v>34</v>
      </c>
      <c r="C2" s="31" t="s">
        <v>35</v>
      </c>
      <c r="D2" s="31" t="s">
        <v>36</v>
      </c>
      <c r="E2" s="31" t="s">
        <v>41</v>
      </c>
      <c r="F2" s="32" t="s">
        <v>42</v>
      </c>
      <c r="G2" s="32" t="s">
        <v>1973</v>
      </c>
      <c r="H2" s="25">
        <v>3</v>
      </c>
      <c r="I2" s="25">
        <v>2</v>
      </c>
      <c r="J2" s="25">
        <v>0</v>
      </c>
      <c r="K2" s="25">
        <v>0</v>
      </c>
      <c r="L2" s="25">
        <v>5</v>
      </c>
      <c r="M2" s="25" t="s">
        <v>1974</v>
      </c>
      <c r="N2" s="25">
        <v>1</v>
      </c>
      <c r="O2" s="25">
        <v>2</v>
      </c>
      <c r="P2" s="25">
        <v>3</v>
      </c>
      <c r="Q2" s="25">
        <v>0</v>
      </c>
      <c r="R2" s="25">
        <v>6</v>
      </c>
      <c r="S2" s="25" t="s">
        <v>1974</v>
      </c>
      <c r="T2" s="25">
        <v>11</v>
      </c>
      <c r="U2" s="25" t="s">
        <v>1975</v>
      </c>
    </row>
    <row r="3" spans="1:22" x14ac:dyDescent="0.25">
      <c r="A3" s="20" t="s">
        <v>60</v>
      </c>
      <c r="B3" s="21" t="s">
        <v>61</v>
      </c>
      <c r="C3" s="31" t="s">
        <v>62</v>
      </c>
      <c r="D3" s="31" t="s">
        <v>63</v>
      </c>
      <c r="E3" s="31" t="s">
        <v>66</v>
      </c>
      <c r="F3" s="32" t="s">
        <v>67</v>
      </c>
      <c r="G3" s="32" t="s">
        <v>68</v>
      </c>
      <c r="H3" s="25">
        <v>2</v>
      </c>
      <c r="I3" s="25">
        <v>1</v>
      </c>
      <c r="J3" s="25">
        <v>0</v>
      </c>
      <c r="K3" s="25">
        <v>0</v>
      </c>
      <c r="L3" s="25">
        <v>3</v>
      </c>
      <c r="M3" s="25" t="s">
        <v>1976</v>
      </c>
      <c r="N3" s="25">
        <v>1</v>
      </c>
      <c r="O3" s="25">
        <v>2</v>
      </c>
      <c r="P3" s="25">
        <v>3</v>
      </c>
      <c r="Q3" s="25">
        <v>0</v>
      </c>
      <c r="R3" s="25">
        <v>6</v>
      </c>
      <c r="S3" s="25" t="s">
        <v>1974</v>
      </c>
      <c r="T3" s="25">
        <v>9</v>
      </c>
      <c r="U3" s="25" t="s">
        <v>1974</v>
      </c>
    </row>
    <row r="4" spans="1:22" x14ac:dyDescent="0.25">
      <c r="A4" s="20" t="s">
        <v>77</v>
      </c>
      <c r="B4" s="21" t="s">
        <v>1857</v>
      </c>
      <c r="C4" s="31" t="s">
        <v>79</v>
      </c>
      <c r="D4" s="31" t="s">
        <v>80</v>
      </c>
      <c r="E4" s="31" t="s">
        <v>84</v>
      </c>
      <c r="F4" s="32" t="s">
        <v>85</v>
      </c>
      <c r="G4" s="32" t="s">
        <v>86</v>
      </c>
      <c r="H4" s="25">
        <v>3</v>
      </c>
      <c r="I4" s="25">
        <v>1</v>
      </c>
      <c r="J4" s="25">
        <v>0</v>
      </c>
      <c r="K4" s="25">
        <v>0</v>
      </c>
      <c r="L4" s="25">
        <v>4</v>
      </c>
      <c r="M4" s="25" t="s">
        <v>1974</v>
      </c>
      <c r="N4" s="25">
        <v>0</v>
      </c>
      <c r="O4" s="25">
        <v>2</v>
      </c>
      <c r="P4" s="25">
        <v>3</v>
      </c>
      <c r="Q4" s="25">
        <v>0</v>
      </c>
      <c r="R4" s="25">
        <v>5</v>
      </c>
      <c r="S4" s="25" t="s">
        <v>1975</v>
      </c>
      <c r="T4" s="25">
        <v>9</v>
      </c>
      <c r="U4" s="25" t="s">
        <v>1974</v>
      </c>
    </row>
    <row r="5" spans="1:22" x14ac:dyDescent="0.25">
      <c r="A5" s="20" t="s">
        <v>99</v>
      </c>
      <c r="B5" s="21" t="s">
        <v>100</v>
      </c>
      <c r="C5" s="31" t="s">
        <v>101</v>
      </c>
      <c r="D5" s="31" t="s">
        <v>102</v>
      </c>
      <c r="E5" s="31" t="s">
        <v>106</v>
      </c>
      <c r="F5" s="32" t="s">
        <v>107</v>
      </c>
      <c r="G5" s="32" t="s">
        <v>108</v>
      </c>
      <c r="H5" s="25">
        <v>0</v>
      </c>
      <c r="I5" s="25">
        <v>0</v>
      </c>
      <c r="J5" s="25">
        <v>0</v>
      </c>
      <c r="K5" s="25">
        <v>0</v>
      </c>
      <c r="L5" s="25">
        <v>0</v>
      </c>
      <c r="M5" s="25" t="s">
        <v>1977</v>
      </c>
      <c r="N5" s="25">
        <v>2</v>
      </c>
      <c r="O5" s="25">
        <v>2</v>
      </c>
      <c r="P5" s="25">
        <v>2</v>
      </c>
      <c r="Q5" s="25">
        <v>1</v>
      </c>
      <c r="R5" s="25">
        <v>7</v>
      </c>
      <c r="S5" s="25" t="s">
        <v>1975</v>
      </c>
      <c r="T5" s="25">
        <v>7</v>
      </c>
      <c r="U5" s="25" t="s">
        <v>1976</v>
      </c>
    </row>
    <row r="6" spans="1:22" x14ac:dyDescent="0.25">
      <c r="A6" s="20" t="s">
        <v>121</v>
      </c>
      <c r="B6" s="21" t="s">
        <v>122</v>
      </c>
      <c r="C6" s="31" t="s">
        <v>123</v>
      </c>
      <c r="D6" s="31" t="s">
        <v>124</v>
      </c>
      <c r="E6" s="31" t="s">
        <v>128</v>
      </c>
      <c r="F6" s="32" t="s">
        <v>129</v>
      </c>
      <c r="G6" s="32" t="s">
        <v>130</v>
      </c>
      <c r="H6" s="25">
        <v>2</v>
      </c>
      <c r="I6" s="25">
        <v>1</v>
      </c>
      <c r="J6" s="25">
        <v>0</v>
      </c>
      <c r="K6" s="25">
        <v>0</v>
      </c>
      <c r="L6" s="25">
        <v>3</v>
      </c>
      <c r="M6" s="25" t="s">
        <v>1976</v>
      </c>
      <c r="N6" s="25">
        <v>2</v>
      </c>
      <c r="O6" s="25">
        <v>2</v>
      </c>
      <c r="P6" s="25">
        <v>3</v>
      </c>
      <c r="Q6" s="25">
        <v>0</v>
      </c>
      <c r="R6" s="25">
        <v>7</v>
      </c>
      <c r="S6" s="25" t="s">
        <v>1975</v>
      </c>
      <c r="T6" s="25">
        <v>10</v>
      </c>
      <c r="U6" s="25" t="s">
        <v>1974</v>
      </c>
    </row>
    <row r="7" spans="1:22" x14ac:dyDescent="0.25">
      <c r="A7" s="20" t="s">
        <v>140</v>
      </c>
      <c r="B7" s="21" t="s">
        <v>141</v>
      </c>
      <c r="C7" s="31" t="s">
        <v>142</v>
      </c>
      <c r="D7" s="31" t="s">
        <v>143</v>
      </c>
      <c r="E7" s="31" t="s">
        <v>147</v>
      </c>
      <c r="F7" s="32" t="s">
        <v>148</v>
      </c>
      <c r="G7" s="32" t="s">
        <v>149</v>
      </c>
      <c r="H7" s="25">
        <v>0</v>
      </c>
      <c r="I7" s="25">
        <v>0</v>
      </c>
      <c r="J7" s="25">
        <v>0</v>
      </c>
      <c r="K7" s="25">
        <v>1</v>
      </c>
      <c r="L7" s="25">
        <v>1</v>
      </c>
      <c r="M7" s="25" t="s">
        <v>1977</v>
      </c>
      <c r="N7" s="25">
        <v>1</v>
      </c>
      <c r="O7" s="25">
        <v>1</v>
      </c>
      <c r="P7" s="25">
        <v>3</v>
      </c>
      <c r="Q7" s="25">
        <v>0</v>
      </c>
      <c r="R7" s="25">
        <v>5</v>
      </c>
      <c r="S7" s="25" t="s">
        <v>1974</v>
      </c>
      <c r="T7" s="25">
        <v>6</v>
      </c>
      <c r="U7" s="25" t="s">
        <v>1976</v>
      </c>
    </row>
    <row r="8" spans="1:22" x14ac:dyDescent="0.25">
      <c r="A8" s="20" t="s">
        <v>164</v>
      </c>
      <c r="B8" s="21" t="s">
        <v>165</v>
      </c>
      <c r="C8" s="31" t="s">
        <v>166</v>
      </c>
      <c r="D8" s="31" t="s">
        <v>167</v>
      </c>
      <c r="E8" s="31" t="s">
        <v>170</v>
      </c>
      <c r="F8" s="32" t="s">
        <v>171</v>
      </c>
      <c r="G8" s="32" t="s">
        <v>172</v>
      </c>
      <c r="H8" s="25">
        <v>0</v>
      </c>
      <c r="I8" s="25">
        <v>0</v>
      </c>
      <c r="J8" s="25">
        <v>0</v>
      </c>
      <c r="K8" s="25">
        <v>1</v>
      </c>
      <c r="L8" s="25">
        <v>1</v>
      </c>
      <c r="M8" s="25" t="s">
        <v>1977</v>
      </c>
      <c r="N8" s="25">
        <v>2</v>
      </c>
      <c r="O8" s="25">
        <v>2</v>
      </c>
      <c r="P8" s="25">
        <v>3</v>
      </c>
      <c r="Q8" s="25">
        <v>0</v>
      </c>
      <c r="R8" s="25">
        <v>7</v>
      </c>
      <c r="S8" s="25" t="s">
        <v>1975</v>
      </c>
      <c r="T8" s="25">
        <v>8</v>
      </c>
      <c r="U8" s="25" t="s">
        <v>1976</v>
      </c>
    </row>
    <row r="9" spans="1:22" x14ac:dyDescent="0.25">
      <c r="A9" s="20" t="s">
        <v>1061</v>
      </c>
      <c r="B9" s="21" t="s">
        <v>1843</v>
      </c>
      <c r="C9" s="31" t="s">
        <v>1978</v>
      </c>
      <c r="D9" s="31" t="s">
        <v>1979</v>
      </c>
      <c r="E9" s="31" t="s">
        <v>1980</v>
      </c>
      <c r="F9" s="32" t="s">
        <v>1981</v>
      </c>
      <c r="G9" s="32" t="s">
        <v>1982</v>
      </c>
      <c r="H9" s="25">
        <v>3</v>
      </c>
      <c r="I9" s="25">
        <v>2</v>
      </c>
      <c r="J9" s="25">
        <v>0</v>
      </c>
      <c r="K9" s="25">
        <v>0</v>
      </c>
      <c r="L9" s="25">
        <v>5</v>
      </c>
      <c r="M9" s="25" t="s">
        <v>1974</v>
      </c>
      <c r="N9" s="25">
        <v>1</v>
      </c>
      <c r="O9" s="25">
        <v>2</v>
      </c>
      <c r="P9" s="25">
        <v>1</v>
      </c>
      <c r="Q9" s="25">
        <v>0</v>
      </c>
      <c r="R9" s="25">
        <v>4</v>
      </c>
      <c r="S9" s="25" t="s">
        <v>1976</v>
      </c>
      <c r="T9" s="25">
        <v>9</v>
      </c>
      <c r="U9" s="25" t="s">
        <v>1974</v>
      </c>
    </row>
    <row r="10" spans="1:22" x14ac:dyDescent="0.25">
      <c r="A10" s="20" t="s">
        <v>187</v>
      </c>
      <c r="B10" s="21" t="s">
        <v>188</v>
      </c>
      <c r="C10" s="31" t="s">
        <v>189</v>
      </c>
      <c r="D10" s="31" t="s">
        <v>190</v>
      </c>
      <c r="E10" s="31" t="s">
        <v>194</v>
      </c>
      <c r="F10" s="32" t="s">
        <v>195</v>
      </c>
      <c r="G10" s="32" t="s">
        <v>196</v>
      </c>
      <c r="H10" s="25">
        <v>0</v>
      </c>
      <c r="I10" s="25">
        <v>0</v>
      </c>
      <c r="J10" s="25">
        <v>2</v>
      </c>
      <c r="K10" s="25">
        <v>0</v>
      </c>
      <c r="L10" s="25">
        <v>2</v>
      </c>
      <c r="M10" s="25" t="s">
        <v>1976</v>
      </c>
      <c r="N10" s="25">
        <v>2</v>
      </c>
      <c r="O10" s="25">
        <v>1</v>
      </c>
      <c r="P10" s="25">
        <v>1</v>
      </c>
      <c r="Q10" s="25">
        <v>2</v>
      </c>
      <c r="R10" s="25">
        <v>6</v>
      </c>
      <c r="S10" s="25" t="s">
        <v>1974</v>
      </c>
      <c r="T10" s="25">
        <v>8</v>
      </c>
      <c r="U10" s="25" t="s">
        <v>1976</v>
      </c>
    </row>
    <row r="11" spans="1:22" x14ac:dyDescent="0.25">
      <c r="A11" s="20" t="s">
        <v>211</v>
      </c>
      <c r="B11" s="21" t="s">
        <v>212</v>
      </c>
      <c r="C11" s="31" t="s">
        <v>213</v>
      </c>
      <c r="D11" s="31" t="s">
        <v>214</v>
      </c>
      <c r="E11" s="31" t="s">
        <v>217</v>
      </c>
      <c r="F11" s="32" t="s">
        <v>218</v>
      </c>
      <c r="G11" s="32" t="s">
        <v>219</v>
      </c>
      <c r="H11" s="25">
        <v>2</v>
      </c>
      <c r="I11" s="25">
        <v>1</v>
      </c>
      <c r="J11" s="25">
        <v>0</v>
      </c>
      <c r="K11" s="25">
        <v>0</v>
      </c>
      <c r="L11" s="25">
        <v>3</v>
      </c>
      <c r="M11" s="25" t="s">
        <v>1976</v>
      </c>
      <c r="N11" s="25">
        <v>1</v>
      </c>
      <c r="O11" s="25">
        <v>2</v>
      </c>
      <c r="P11" s="25">
        <v>0</v>
      </c>
      <c r="Q11" s="25">
        <v>2</v>
      </c>
      <c r="R11" s="25">
        <v>5</v>
      </c>
      <c r="S11" s="25" t="s">
        <v>1974</v>
      </c>
      <c r="T11" s="25">
        <v>8</v>
      </c>
      <c r="U11" s="25" t="s">
        <v>1976</v>
      </c>
    </row>
    <row r="12" spans="1:22" ht="28.5" x14ac:dyDescent="0.25">
      <c r="A12" s="20" t="s">
        <v>232</v>
      </c>
      <c r="B12" s="21" t="s">
        <v>233</v>
      </c>
      <c r="C12" s="31" t="s">
        <v>234</v>
      </c>
      <c r="D12" s="31" t="s">
        <v>235</v>
      </c>
      <c r="E12" s="31" t="s">
        <v>239</v>
      </c>
      <c r="F12" s="32"/>
      <c r="G12" s="32" t="s">
        <v>240</v>
      </c>
      <c r="H12" s="25">
        <v>1</v>
      </c>
      <c r="I12" s="25">
        <v>0</v>
      </c>
      <c r="J12" s="25">
        <v>0</v>
      </c>
      <c r="K12" s="25">
        <v>1</v>
      </c>
      <c r="L12" s="25">
        <v>2</v>
      </c>
      <c r="M12" s="25" t="s">
        <v>1976</v>
      </c>
      <c r="N12" s="25">
        <v>3</v>
      </c>
      <c r="O12" s="25">
        <v>1</v>
      </c>
      <c r="P12" s="25">
        <v>0</v>
      </c>
      <c r="Q12" s="25">
        <v>3</v>
      </c>
      <c r="R12" s="25">
        <v>7</v>
      </c>
      <c r="S12" s="25" t="s">
        <v>1975</v>
      </c>
      <c r="T12" s="25">
        <v>9</v>
      </c>
      <c r="U12" s="25" t="s">
        <v>1974</v>
      </c>
    </row>
    <row r="13" spans="1:22" x14ac:dyDescent="0.25">
      <c r="A13" s="20" t="s">
        <v>257</v>
      </c>
      <c r="B13" s="21" t="s">
        <v>1849</v>
      </c>
      <c r="C13" s="31" t="s">
        <v>1983</v>
      </c>
      <c r="D13" s="31" t="s">
        <v>1984</v>
      </c>
      <c r="E13" s="31" t="s">
        <v>1985</v>
      </c>
      <c r="F13" s="32" t="s">
        <v>265</v>
      </c>
      <c r="G13" s="32" t="s">
        <v>1986</v>
      </c>
      <c r="H13" s="25">
        <v>1</v>
      </c>
      <c r="I13" s="25">
        <v>0</v>
      </c>
      <c r="J13" s="25">
        <v>0</v>
      </c>
      <c r="K13" s="25">
        <v>3</v>
      </c>
      <c r="L13" s="25">
        <v>4</v>
      </c>
      <c r="M13" s="25" t="s">
        <v>1974</v>
      </c>
      <c r="N13" s="25">
        <v>1</v>
      </c>
      <c r="O13" s="25">
        <v>1</v>
      </c>
      <c r="P13" s="25">
        <v>1</v>
      </c>
      <c r="Q13" s="25">
        <v>2</v>
      </c>
      <c r="R13" s="25">
        <v>5</v>
      </c>
      <c r="S13" s="25" t="s">
        <v>1974</v>
      </c>
      <c r="T13" s="25">
        <v>9</v>
      </c>
      <c r="U13" s="25" t="s">
        <v>1974</v>
      </c>
    </row>
    <row r="14" spans="1:22" x14ac:dyDescent="0.25">
      <c r="A14" s="20" t="s">
        <v>283</v>
      </c>
      <c r="B14" s="21" t="s">
        <v>284</v>
      </c>
      <c r="C14" s="31" t="s">
        <v>285</v>
      </c>
      <c r="D14" s="31" t="s">
        <v>286</v>
      </c>
      <c r="E14" s="31" t="s">
        <v>289</v>
      </c>
      <c r="F14" s="32" t="s">
        <v>290</v>
      </c>
      <c r="G14" s="32" t="s">
        <v>291</v>
      </c>
      <c r="H14" s="25">
        <v>0</v>
      </c>
      <c r="I14" s="25">
        <v>0</v>
      </c>
      <c r="J14" s="25">
        <v>0</v>
      </c>
      <c r="K14" s="25">
        <v>0</v>
      </c>
      <c r="L14" s="25">
        <v>0</v>
      </c>
      <c r="M14" s="25" t="s">
        <v>1977</v>
      </c>
      <c r="N14" s="25">
        <v>1</v>
      </c>
      <c r="O14" s="25">
        <v>1</v>
      </c>
      <c r="P14" s="25">
        <v>3</v>
      </c>
      <c r="Q14" s="25">
        <v>0</v>
      </c>
      <c r="R14" s="25">
        <v>5</v>
      </c>
      <c r="S14" s="25" t="s">
        <v>1974</v>
      </c>
      <c r="T14" s="25">
        <v>5</v>
      </c>
      <c r="U14" s="25" t="s">
        <v>1977</v>
      </c>
    </row>
    <row r="15" spans="1:22" x14ac:dyDescent="0.25">
      <c r="A15" s="20" t="s">
        <v>300</v>
      </c>
      <c r="B15" s="21" t="s">
        <v>301</v>
      </c>
      <c r="C15" s="31" t="s">
        <v>302</v>
      </c>
      <c r="D15" s="31" t="s">
        <v>303</v>
      </c>
      <c r="E15" s="31" t="s">
        <v>306</v>
      </c>
      <c r="F15" s="32" t="s">
        <v>307</v>
      </c>
      <c r="G15" s="32" t="s">
        <v>308</v>
      </c>
      <c r="H15" s="25">
        <v>0</v>
      </c>
      <c r="I15" s="25">
        <v>0</v>
      </c>
      <c r="J15" s="25">
        <v>0</v>
      </c>
      <c r="K15" s="25">
        <v>2</v>
      </c>
      <c r="L15" s="25">
        <v>2</v>
      </c>
      <c r="M15" s="25" t="s">
        <v>1976</v>
      </c>
      <c r="N15" s="25">
        <v>1</v>
      </c>
      <c r="O15" s="25">
        <v>1</v>
      </c>
      <c r="P15" s="25">
        <v>2</v>
      </c>
      <c r="Q15" s="25">
        <v>0</v>
      </c>
      <c r="R15" s="25">
        <v>4</v>
      </c>
      <c r="S15" s="25" t="s">
        <v>1976</v>
      </c>
      <c r="T15" s="25">
        <v>6</v>
      </c>
      <c r="U15" s="25" t="s">
        <v>1976</v>
      </c>
    </row>
    <row r="16" spans="1:22" x14ac:dyDescent="0.25">
      <c r="A16" s="20" t="s">
        <v>319</v>
      </c>
      <c r="B16" s="21" t="s">
        <v>320</v>
      </c>
      <c r="C16" s="31" t="s">
        <v>321</v>
      </c>
      <c r="D16" s="31" t="s">
        <v>322</v>
      </c>
      <c r="E16" s="31" t="s">
        <v>325</v>
      </c>
      <c r="F16" s="32" t="s">
        <v>326</v>
      </c>
      <c r="G16" s="32" t="s">
        <v>327</v>
      </c>
      <c r="H16" s="25">
        <v>0</v>
      </c>
      <c r="I16" s="25">
        <v>0</v>
      </c>
      <c r="J16" s="25">
        <v>0</v>
      </c>
      <c r="K16" s="25">
        <v>2</v>
      </c>
      <c r="L16" s="25">
        <v>2</v>
      </c>
      <c r="M16" s="25" t="s">
        <v>1976</v>
      </c>
      <c r="N16" s="25">
        <v>0</v>
      </c>
      <c r="O16" s="25">
        <v>1</v>
      </c>
      <c r="P16" s="25">
        <v>2</v>
      </c>
      <c r="Q16" s="25">
        <v>0</v>
      </c>
      <c r="R16" s="25">
        <v>3</v>
      </c>
      <c r="S16" s="25" t="s">
        <v>1976</v>
      </c>
      <c r="T16" s="25">
        <v>5</v>
      </c>
      <c r="U16" s="25" t="s">
        <v>1977</v>
      </c>
    </row>
    <row r="17" spans="1:21" ht="28.5" x14ac:dyDescent="0.25">
      <c r="A17" s="20" t="s">
        <v>337</v>
      </c>
      <c r="B17" s="21" t="s">
        <v>338</v>
      </c>
      <c r="C17" s="31" t="s">
        <v>339</v>
      </c>
      <c r="D17" s="31" t="s">
        <v>340</v>
      </c>
      <c r="E17" s="31" t="s">
        <v>343</v>
      </c>
      <c r="F17" s="32" t="s">
        <v>232</v>
      </c>
      <c r="G17" s="32" t="s">
        <v>344</v>
      </c>
      <c r="H17" s="25">
        <v>3</v>
      </c>
      <c r="I17" s="25">
        <v>3</v>
      </c>
      <c r="J17" s="25">
        <v>1</v>
      </c>
      <c r="K17" s="25">
        <v>1</v>
      </c>
      <c r="L17" s="25">
        <v>8</v>
      </c>
      <c r="M17" s="25" t="s">
        <v>1975</v>
      </c>
      <c r="N17" s="25">
        <v>3</v>
      </c>
      <c r="O17" s="25">
        <v>3</v>
      </c>
      <c r="P17" s="25">
        <v>0</v>
      </c>
      <c r="Q17" s="25">
        <v>0</v>
      </c>
      <c r="R17" s="25">
        <v>6</v>
      </c>
      <c r="S17" s="25" t="s">
        <v>1974</v>
      </c>
      <c r="T17" s="25">
        <v>14</v>
      </c>
      <c r="U17" s="25" t="s">
        <v>1975</v>
      </c>
    </row>
    <row r="18" spans="1:21" x14ac:dyDescent="0.25">
      <c r="A18" s="20" t="s">
        <v>356</v>
      </c>
      <c r="B18" s="21" t="s">
        <v>1858</v>
      </c>
      <c r="C18" s="31" t="s">
        <v>358</v>
      </c>
      <c r="D18" s="31" t="s">
        <v>359</v>
      </c>
      <c r="E18" s="31" t="s">
        <v>362</v>
      </c>
      <c r="F18" s="32" t="s">
        <v>363</v>
      </c>
      <c r="G18" s="32"/>
      <c r="H18" s="25">
        <v>3</v>
      </c>
      <c r="I18" s="25">
        <v>2</v>
      </c>
      <c r="J18" s="25">
        <v>0</v>
      </c>
      <c r="K18" s="25">
        <v>0</v>
      </c>
      <c r="L18" s="25">
        <v>5</v>
      </c>
      <c r="M18" s="25" t="s">
        <v>1974</v>
      </c>
      <c r="N18" s="25">
        <v>3</v>
      </c>
      <c r="O18" s="25">
        <v>3</v>
      </c>
      <c r="P18" s="25">
        <v>1</v>
      </c>
      <c r="Q18" s="25">
        <v>1</v>
      </c>
      <c r="R18" s="25">
        <v>8</v>
      </c>
      <c r="S18" s="25" t="s">
        <v>1975</v>
      </c>
      <c r="T18" s="25">
        <v>13</v>
      </c>
      <c r="U18" s="25" t="s">
        <v>1975</v>
      </c>
    </row>
    <row r="19" spans="1:21" x14ac:dyDescent="0.25">
      <c r="A19" s="20" t="s">
        <v>376</v>
      </c>
      <c r="B19" s="21" t="s">
        <v>1860</v>
      </c>
      <c r="C19" s="31" t="s">
        <v>378</v>
      </c>
      <c r="D19" s="31" t="s">
        <v>379</v>
      </c>
      <c r="E19" s="31" t="s">
        <v>383</v>
      </c>
      <c r="F19" s="32" t="s">
        <v>384</v>
      </c>
      <c r="G19" s="32"/>
      <c r="H19" s="25">
        <v>2</v>
      </c>
      <c r="I19" s="25">
        <v>0</v>
      </c>
      <c r="J19" s="25">
        <v>0</v>
      </c>
      <c r="K19" s="25">
        <v>0</v>
      </c>
      <c r="L19" s="25">
        <v>2</v>
      </c>
      <c r="M19" s="25" t="s">
        <v>1976</v>
      </c>
      <c r="N19" s="25">
        <v>2</v>
      </c>
      <c r="O19" s="25">
        <v>3</v>
      </c>
      <c r="P19" s="25">
        <v>0</v>
      </c>
      <c r="Q19" s="25">
        <v>0</v>
      </c>
      <c r="R19" s="25">
        <v>5</v>
      </c>
      <c r="S19" s="25" t="s">
        <v>1974</v>
      </c>
      <c r="T19" s="25">
        <v>7</v>
      </c>
      <c r="U19" s="25" t="s">
        <v>1976</v>
      </c>
    </row>
    <row r="20" spans="1:21" x14ac:dyDescent="0.25">
      <c r="A20" s="20" t="s">
        <v>392</v>
      </c>
      <c r="B20" s="21" t="s">
        <v>393</v>
      </c>
      <c r="C20" s="31" t="s">
        <v>394</v>
      </c>
      <c r="D20" s="31" t="s">
        <v>395</v>
      </c>
      <c r="E20" s="31" t="s">
        <v>398</v>
      </c>
      <c r="F20" s="32" t="s">
        <v>399</v>
      </c>
      <c r="G20" s="32" t="s">
        <v>400</v>
      </c>
      <c r="H20" s="25">
        <v>1</v>
      </c>
      <c r="I20" s="25">
        <v>0</v>
      </c>
      <c r="J20" s="25">
        <v>0</v>
      </c>
      <c r="K20" s="25">
        <v>1</v>
      </c>
      <c r="L20" s="25">
        <v>2</v>
      </c>
      <c r="M20" s="25" t="s">
        <v>1976</v>
      </c>
      <c r="N20" s="25">
        <v>2</v>
      </c>
      <c r="O20" s="25">
        <v>2</v>
      </c>
      <c r="P20" s="25">
        <v>1</v>
      </c>
      <c r="Q20" s="25">
        <v>1</v>
      </c>
      <c r="R20" s="25">
        <v>6</v>
      </c>
      <c r="S20" s="25" t="s">
        <v>1974</v>
      </c>
      <c r="T20" s="25">
        <v>8</v>
      </c>
      <c r="U20" s="25" t="s">
        <v>1976</v>
      </c>
    </row>
    <row r="21" spans="1:21" x14ac:dyDescent="0.25">
      <c r="A21" s="20" t="s">
        <v>409</v>
      </c>
      <c r="B21" s="21" t="s">
        <v>410</v>
      </c>
      <c r="C21" s="31" t="s">
        <v>411</v>
      </c>
      <c r="D21" s="31" t="s">
        <v>412</v>
      </c>
      <c r="E21" s="31" t="s">
        <v>415</v>
      </c>
      <c r="F21" s="32" t="s">
        <v>416</v>
      </c>
      <c r="G21" s="32"/>
      <c r="H21" s="25">
        <v>2</v>
      </c>
      <c r="I21" s="25">
        <v>1</v>
      </c>
      <c r="J21" s="25">
        <v>0</v>
      </c>
      <c r="K21" s="25">
        <v>0</v>
      </c>
      <c r="L21" s="25">
        <v>3</v>
      </c>
      <c r="M21" s="25" t="s">
        <v>1976</v>
      </c>
      <c r="N21" s="25">
        <v>3</v>
      </c>
      <c r="O21" s="25">
        <v>2</v>
      </c>
      <c r="P21" s="25">
        <v>0</v>
      </c>
      <c r="Q21" s="25">
        <v>1</v>
      </c>
      <c r="R21" s="25">
        <v>6</v>
      </c>
      <c r="S21" s="25" t="s">
        <v>1974</v>
      </c>
      <c r="T21" s="25">
        <v>9</v>
      </c>
      <c r="U21" s="25" t="s">
        <v>1974</v>
      </c>
    </row>
    <row r="22" spans="1:21" x14ac:dyDescent="0.25">
      <c r="A22" s="20" t="s">
        <v>431</v>
      </c>
      <c r="B22" s="21" t="s">
        <v>432</v>
      </c>
      <c r="C22" s="31" t="s">
        <v>433</v>
      </c>
      <c r="D22" s="31" t="s">
        <v>434</v>
      </c>
      <c r="E22" s="31" t="s">
        <v>437</v>
      </c>
      <c r="F22" s="32" t="s">
        <v>438</v>
      </c>
      <c r="G22" s="32"/>
      <c r="H22" s="25">
        <v>2</v>
      </c>
      <c r="I22" s="25">
        <v>0</v>
      </c>
      <c r="J22" s="25">
        <v>1</v>
      </c>
      <c r="K22" s="25">
        <v>2</v>
      </c>
      <c r="L22" s="25">
        <v>5</v>
      </c>
      <c r="M22" s="25" t="s">
        <v>1974</v>
      </c>
      <c r="N22" s="25">
        <v>3</v>
      </c>
      <c r="O22" s="25">
        <v>3</v>
      </c>
      <c r="P22" s="25">
        <v>0</v>
      </c>
      <c r="Q22" s="25">
        <v>0</v>
      </c>
      <c r="R22" s="25">
        <v>6</v>
      </c>
      <c r="S22" s="25" t="s">
        <v>1974</v>
      </c>
      <c r="T22" s="25">
        <v>11</v>
      </c>
      <c r="U22" s="25" t="s">
        <v>1975</v>
      </c>
    </row>
    <row r="23" spans="1:21" x14ac:dyDescent="0.25">
      <c r="A23" s="20" t="s">
        <v>454</v>
      </c>
      <c r="B23" s="21" t="s">
        <v>455</v>
      </c>
      <c r="C23" s="31" t="s">
        <v>456</v>
      </c>
      <c r="D23" s="31" t="s">
        <v>457</v>
      </c>
      <c r="E23" s="31" t="s">
        <v>460</v>
      </c>
      <c r="F23" s="32" t="s">
        <v>461</v>
      </c>
      <c r="G23" s="32" t="s">
        <v>462</v>
      </c>
      <c r="H23" s="25">
        <v>1</v>
      </c>
      <c r="I23" s="25">
        <v>0</v>
      </c>
      <c r="J23" s="25">
        <v>1</v>
      </c>
      <c r="K23" s="25">
        <v>0</v>
      </c>
      <c r="L23" s="25">
        <v>2</v>
      </c>
      <c r="M23" s="25" t="s">
        <v>1976</v>
      </c>
      <c r="N23" s="25">
        <v>2</v>
      </c>
      <c r="O23" s="25">
        <v>2</v>
      </c>
      <c r="P23" s="25">
        <v>0</v>
      </c>
      <c r="Q23" s="25">
        <v>1</v>
      </c>
      <c r="R23" s="25">
        <v>5</v>
      </c>
      <c r="S23" s="25" t="s">
        <v>1974</v>
      </c>
      <c r="T23" s="25">
        <v>7</v>
      </c>
      <c r="U23" s="25" t="s">
        <v>1976</v>
      </c>
    </row>
    <row r="24" spans="1:21" x14ac:dyDescent="0.25">
      <c r="A24" s="20" t="s">
        <v>1378</v>
      </c>
      <c r="B24" s="21" t="s">
        <v>1863</v>
      </c>
      <c r="C24" s="31" t="s">
        <v>1987</v>
      </c>
      <c r="D24" s="31" t="s">
        <v>1988</v>
      </c>
      <c r="E24" s="31" t="s">
        <v>1989</v>
      </c>
      <c r="F24" s="32" t="s">
        <v>1990</v>
      </c>
      <c r="G24" s="32" t="s">
        <v>1991</v>
      </c>
      <c r="H24" s="25">
        <v>1</v>
      </c>
      <c r="I24" s="25">
        <v>0</v>
      </c>
      <c r="J24" s="25">
        <v>0</v>
      </c>
      <c r="K24" s="25">
        <v>0</v>
      </c>
      <c r="L24" s="25">
        <v>1</v>
      </c>
      <c r="M24" s="25" t="s">
        <v>1977</v>
      </c>
      <c r="N24" s="25">
        <v>1</v>
      </c>
      <c r="O24" s="25">
        <v>2</v>
      </c>
      <c r="P24" s="25">
        <v>0</v>
      </c>
      <c r="Q24" s="25">
        <v>0</v>
      </c>
      <c r="R24" s="25">
        <v>3</v>
      </c>
      <c r="S24" s="25" t="s">
        <v>1976</v>
      </c>
      <c r="T24" s="25">
        <v>4</v>
      </c>
      <c r="U24" s="25" t="s">
        <v>1977</v>
      </c>
    </row>
    <row r="25" spans="1:21" x14ac:dyDescent="0.25">
      <c r="A25" s="20" t="s">
        <v>473</v>
      </c>
      <c r="B25" s="21" t="s">
        <v>474</v>
      </c>
      <c r="C25" s="31" t="s">
        <v>475</v>
      </c>
      <c r="D25" s="31" t="s">
        <v>476</v>
      </c>
      <c r="E25" s="31" t="s">
        <v>479</v>
      </c>
      <c r="F25" s="32" t="s">
        <v>232</v>
      </c>
      <c r="G25" s="32"/>
      <c r="H25" s="25">
        <v>1</v>
      </c>
      <c r="I25" s="25">
        <v>0</v>
      </c>
      <c r="J25" s="25">
        <v>3</v>
      </c>
      <c r="K25" s="25">
        <v>0</v>
      </c>
      <c r="L25" s="25">
        <v>4</v>
      </c>
      <c r="M25" s="25" t="s">
        <v>1974</v>
      </c>
      <c r="N25" s="25">
        <v>2</v>
      </c>
      <c r="O25" s="25">
        <v>1</v>
      </c>
      <c r="P25" s="25">
        <v>0</v>
      </c>
      <c r="Q25" s="25">
        <v>2</v>
      </c>
      <c r="R25" s="25">
        <v>5</v>
      </c>
      <c r="S25" s="25" t="s">
        <v>1974</v>
      </c>
      <c r="T25" s="25">
        <v>9</v>
      </c>
      <c r="U25" s="25" t="s">
        <v>1974</v>
      </c>
    </row>
    <row r="26" spans="1:21" x14ac:dyDescent="0.25">
      <c r="A26" s="20" t="s">
        <v>491</v>
      </c>
      <c r="B26" s="21" t="s">
        <v>492</v>
      </c>
      <c r="C26" s="31" t="s">
        <v>493</v>
      </c>
      <c r="D26" s="31" t="s">
        <v>494</v>
      </c>
      <c r="E26" s="31" t="s">
        <v>497</v>
      </c>
      <c r="F26" s="32" t="s">
        <v>498</v>
      </c>
      <c r="G26" s="32"/>
      <c r="H26" s="25">
        <v>1</v>
      </c>
      <c r="I26" s="25">
        <v>0</v>
      </c>
      <c r="J26" s="25">
        <v>3</v>
      </c>
      <c r="K26" s="25">
        <v>0</v>
      </c>
      <c r="L26" s="25">
        <v>4</v>
      </c>
      <c r="M26" s="25" t="s">
        <v>1974</v>
      </c>
      <c r="N26" s="25">
        <v>1</v>
      </c>
      <c r="O26" s="25">
        <v>2</v>
      </c>
      <c r="P26" s="25">
        <v>0</v>
      </c>
      <c r="Q26" s="25">
        <v>2</v>
      </c>
      <c r="R26" s="25">
        <v>5</v>
      </c>
      <c r="S26" s="25" t="s">
        <v>1974</v>
      </c>
      <c r="T26" s="25">
        <v>9</v>
      </c>
      <c r="U26" s="25" t="s">
        <v>1974</v>
      </c>
    </row>
    <row r="27" spans="1:21" x14ac:dyDescent="0.25">
      <c r="A27" s="20" t="s">
        <v>508</v>
      </c>
      <c r="B27" s="21" t="s">
        <v>509</v>
      </c>
      <c r="C27" s="31" t="s">
        <v>510</v>
      </c>
      <c r="D27" s="31" t="s">
        <v>511</v>
      </c>
      <c r="E27" s="31" t="s">
        <v>514</v>
      </c>
      <c r="F27" s="32" t="s">
        <v>515</v>
      </c>
      <c r="G27" s="32" t="s">
        <v>516</v>
      </c>
      <c r="H27" s="25">
        <v>1</v>
      </c>
      <c r="I27" s="25">
        <v>0</v>
      </c>
      <c r="J27" s="25">
        <v>0</v>
      </c>
      <c r="K27" s="25">
        <v>1</v>
      </c>
      <c r="L27" s="25">
        <v>2</v>
      </c>
      <c r="M27" s="25" t="s">
        <v>1976</v>
      </c>
      <c r="N27" s="25">
        <v>1</v>
      </c>
      <c r="O27" s="25">
        <v>0</v>
      </c>
      <c r="P27" s="25">
        <v>0</v>
      </c>
      <c r="Q27" s="25">
        <v>3</v>
      </c>
      <c r="R27" s="25">
        <v>4</v>
      </c>
      <c r="S27" s="25" t="s">
        <v>1976</v>
      </c>
      <c r="T27" s="25">
        <v>6</v>
      </c>
      <c r="U27" s="25" t="s">
        <v>1976</v>
      </c>
    </row>
    <row r="28" spans="1:21" x14ac:dyDescent="0.25">
      <c r="A28" s="20" t="s">
        <v>525</v>
      </c>
      <c r="B28" s="21" t="s">
        <v>1853</v>
      </c>
      <c r="C28" s="31" t="s">
        <v>527</v>
      </c>
      <c r="D28" s="31" t="s">
        <v>528</v>
      </c>
      <c r="E28" s="31" t="s">
        <v>531</v>
      </c>
      <c r="F28" s="32" t="s">
        <v>532</v>
      </c>
      <c r="G28" s="32"/>
      <c r="H28" s="25">
        <v>0</v>
      </c>
      <c r="I28" s="25">
        <v>0</v>
      </c>
      <c r="J28" s="25">
        <v>0</v>
      </c>
      <c r="K28" s="25">
        <v>3</v>
      </c>
      <c r="L28" s="25">
        <v>3</v>
      </c>
      <c r="M28" s="25" t="s">
        <v>1976</v>
      </c>
      <c r="N28" s="25">
        <v>1</v>
      </c>
      <c r="O28" s="25">
        <v>0</v>
      </c>
      <c r="P28" s="25">
        <v>0</v>
      </c>
      <c r="Q28" s="25">
        <v>3</v>
      </c>
      <c r="R28" s="25">
        <v>4</v>
      </c>
      <c r="S28" s="25" t="s">
        <v>1976</v>
      </c>
      <c r="T28" s="25">
        <v>7</v>
      </c>
      <c r="U28" s="25" t="s">
        <v>1976</v>
      </c>
    </row>
    <row r="29" spans="1:21" ht="28.5" x14ac:dyDescent="0.25">
      <c r="A29" s="20" t="s">
        <v>540</v>
      </c>
      <c r="B29" s="21" t="s">
        <v>541</v>
      </c>
      <c r="C29" s="31" t="s">
        <v>542</v>
      </c>
      <c r="D29" s="31" t="s">
        <v>1992</v>
      </c>
      <c r="E29" s="31" t="s">
        <v>546</v>
      </c>
      <c r="F29" s="32" t="s">
        <v>547</v>
      </c>
      <c r="G29" s="32"/>
      <c r="H29" s="25">
        <v>2</v>
      </c>
      <c r="I29" s="25">
        <v>0</v>
      </c>
      <c r="J29" s="25">
        <v>0</v>
      </c>
      <c r="K29" s="25">
        <v>1</v>
      </c>
      <c r="L29" s="25">
        <v>3</v>
      </c>
      <c r="M29" s="25" t="s">
        <v>1976</v>
      </c>
      <c r="N29" s="25">
        <v>2</v>
      </c>
      <c r="O29" s="25">
        <v>3</v>
      </c>
      <c r="P29" s="25">
        <v>0</v>
      </c>
      <c r="Q29" s="25">
        <v>0</v>
      </c>
      <c r="R29" s="25">
        <v>5</v>
      </c>
      <c r="S29" s="25" t="s">
        <v>1974</v>
      </c>
      <c r="T29" s="25">
        <v>8</v>
      </c>
      <c r="U29" s="25" t="s">
        <v>1976</v>
      </c>
    </row>
    <row r="30" spans="1:21" x14ac:dyDescent="0.25">
      <c r="A30" s="20" t="s">
        <v>558</v>
      </c>
      <c r="B30" s="21" t="s">
        <v>559</v>
      </c>
      <c r="C30" s="31" t="s">
        <v>560</v>
      </c>
      <c r="D30" s="31" t="s">
        <v>561</v>
      </c>
      <c r="E30" s="31" t="s">
        <v>564</v>
      </c>
      <c r="F30" s="32" t="s">
        <v>565</v>
      </c>
      <c r="G30" s="32" t="s">
        <v>566</v>
      </c>
      <c r="H30" s="25">
        <v>1</v>
      </c>
      <c r="I30" s="25">
        <v>0</v>
      </c>
      <c r="J30" s="25">
        <v>0</v>
      </c>
      <c r="K30" s="25">
        <v>0</v>
      </c>
      <c r="L30" s="25">
        <v>1</v>
      </c>
      <c r="M30" s="25" t="s">
        <v>1977</v>
      </c>
      <c r="N30" s="25">
        <v>1</v>
      </c>
      <c r="O30" s="25">
        <v>2</v>
      </c>
      <c r="P30" s="25">
        <v>0</v>
      </c>
      <c r="Q30" s="25">
        <v>2</v>
      </c>
      <c r="R30" s="25">
        <v>5</v>
      </c>
      <c r="S30" s="25" t="s">
        <v>1974</v>
      </c>
      <c r="T30" s="25">
        <v>6</v>
      </c>
      <c r="U30" s="25" t="s">
        <v>1976</v>
      </c>
    </row>
    <row r="31" spans="1:21" x14ac:dyDescent="0.25">
      <c r="A31" s="20" t="s">
        <v>577</v>
      </c>
      <c r="B31" s="21" t="s">
        <v>578</v>
      </c>
      <c r="C31" s="31" t="s">
        <v>579</v>
      </c>
      <c r="D31" s="31" t="s">
        <v>580</v>
      </c>
      <c r="E31" s="31" t="s">
        <v>583</v>
      </c>
      <c r="F31" s="32" t="s">
        <v>584</v>
      </c>
      <c r="G31" s="32" t="s">
        <v>585</v>
      </c>
      <c r="H31" s="25">
        <v>1</v>
      </c>
      <c r="I31" s="25">
        <v>2</v>
      </c>
      <c r="J31" s="25">
        <v>0</v>
      </c>
      <c r="K31" s="25">
        <v>0</v>
      </c>
      <c r="L31" s="25">
        <v>3</v>
      </c>
      <c r="M31" s="25" t="s">
        <v>1976</v>
      </c>
      <c r="N31" s="25">
        <v>3</v>
      </c>
      <c r="O31" s="25">
        <v>3</v>
      </c>
      <c r="P31" s="25">
        <v>0</v>
      </c>
      <c r="Q31" s="25">
        <v>1</v>
      </c>
      <c r="R31" s="25">
        <v>7</v>
      </c>
      <c r="S31" s="25" t="s">
        <v>1975</v>
      </c>
      <c r="T31" s="25">
        <v>10</v>
      </c>
      <c r="U31" s="25" t="s">
        <v>1974</v>
      </c>
    </row>
    <row r="32" spans="1:21" ht="28.5" x14ac:dyDescent="0.25">
      <c r="A32" s="20" t="s">
        <v>597</v>
      </c>
      <c r="B32" s="21" t="s">
        <v>598</v>
      </c>
      <c r="C32" s="31" t="s">
        <v>599</v>
      </c>
      <c r="D32" s="31" t="s">
        <v>600</v>
      </c>
      <c r="E32" s="31" t="s">
        <v>603</v>
      </c>
      <c r="F32" s="32" t="s">
        <v>604</v>
      </c>
      <c r="G32" s="32"/>
      <c r="H32" s="25">
        <v>1</v>
      </c>
      <c r="I32" s="25">
        <v>0</v>
      </c>
      <c r="J32" s="25">
        <v>0</v>
      </c>
      <c r="K32" s="25">
        <v>0</v>
      </c>
      <c r="L32" s="25">
        <v>1</v>
      </c>
      <c r="M32" s="25" t="s">
        <v>1977</v>
      </c>
      <c r="N32" s="25">
        <v>2</v>
      </c>
      <c r="O32" s="25">
        <v>3</v>
      </c>
      <c r="P32" s="25">
        <v>0</v>
      </c>
      <c r="Q32" s="25">
        <v>0</v>
      </c>
      <c r="R32" s="25">
        <v>5</v>
      </c>
      <c r="S32" s="25" t="s">
        <v>1974</v>
      </c>
      <c r="T32" s="25">
        <v>6</v>
      </c>
      <c r="U32" s="25" t="s">
        <v>1976</v>
      </c>
    </row>
    <row r="33" spans="1:27" x14ac:dyDescent="0.25">
      <c r="A33" s="20" t="s">
        <v>613</v>
      </c>
      <c r="B33" s="21" t="s">
        <v>614</v>
      </c>
      <c r="C33" s="31" t="s">
        <v>615</v>
      </c>
      <c r="D33" s="31" t="s">
        <v>616</v>
      </c>
      <c r="E33" s="31" t="s">
        <v>619</v>
      </c>
      <c r="F33" s="32" t="s">
        <v>620</v>
      </c>
      <c r="G33" s="32" t="s">
        <v>621</v>
      </c>
      <c r="H33" s="25">
        <v>3</v>
      </c>
      <c r="I33" s="25">
        <v>2</v>
      </c>
      <c r="J33" s="25">
        <v>3</v>
      </c>
      <c r="K33" s="25">
        <v>0</v>
      </c>
      <c r="L33" s="25">
        <v>8</v>
      </c>
      <c r="M33" s="25" t="s">
        <v>1975</v>
      </c>
      <c r="N33" s="25">
        <v>1</v>
      </c>
      <c r="O33" s="25">
        <v>1</v>
      </c>
      <c r="P33" s="25">
        <v>0</v>
      </c>
      <c r="Q33" s="25">
        <v>0</v>
      </c>
      <c r="R33" s="25">
        <v>2</v>
      </c>
      <c r="S33" s="25" t="s">
        <v>1977</v>
      </c>
      <c r="T33" s="25">
        <v>10</v>
      </c>
      <c r="U33" s="25" t="s">
        <v>1974</v>
      </c>
    </row>
    <row r="34" spans="1:27" ht="28.5" x14ac:dyDescent="0.25">
      <c r="A34" s="20" t="s">
        <v>630</v>
      </c>
      <c r="B34" s="21" t="s">
        <v>631</v>
      </c>
      <c r="C34" s="31" t="s">
        <v>632</v>
      </c>
      <c r="D34" s="31" t="s">
        <v>633</v>
      </c>
      <c r="E34" s="31" t="s">
        <v>636</v>
      </c>
      <c r="F34" s="32" t="s">
        <v>637</v>
      </c>
      <c r="G34" s="32" t="s">
        <v>638</v>
      </c>
      <c r="H34" s="25">
        <v>2</v>
      </c>
      <c r="I34" s="25">
        <v>3</v>
      </c>
      <c r="J34" s="25">
        <v>0</v>
      </c>
      <c r="K34" s="25">
        <v>0</v>
      </c>
      <c r="L34" s="25">
        <v>5</v>
      </c>
      <c r="M34" s="25" t="s">
        <v>1974</v>
      </c>
      <c r="N34" s="25">
        <v>1</v>
      </c>
      <c r="O34" s="25">
        <v>1</v>
      </c>
      <c r="P34" s="25">
        <v>1</v>
      </c>
      <c r="Q34" s="25">
        <v>0</v>
      </c>
      <c r="R34" s="25">
        <v>3</v>
      </c>
      <c r="S34" s="25" t="s">
        <v>1976</v>
      </c>
      <c r="T34" s="25">
        <v>8</v>
      </c>
      <c r="U34" s="25" t="s">
        <v>1976</v>
      </c>
    </row>
    <row r="35" spans="1:27" x14ac:dyDescent="0.25">
      <c r="A35" s="20" t="s">
        <v>646</v>
      </c>
      <c r="B35" s="21" t="s">
        <v>647</v>
      </c>
      <c r="C35" s="31" t="s">
        <v>648</v>
      </c>
      <c r="D35" s="31" t="s">
        <v>649</v>
      </c>
      <c r="E35" s="31" t="s">
        <v>652</v>
      </c>
      <c r="F35" s="32" t="s">
        <v>653</v>
      </c>
      <c r="G35" s="32" t="s">
        <v>654</v>
      </c>
      <c r="H35" s="25">
        <v>1</v>
      </c>
      <c r="I35" s="25">
        <v>1</v>
      </c>
      <c r="J35" s="25">
        <v>1</v>
      </c>
      <c r="K35" s="25">
        <v>0</v>
      </c>
      <c r="L35" s="25">
        <v>3</v>
      </c>
      <c r="M35" s="25" t="s">
        <v>1976</v>
      </c>
      <c r="N35" s="25">
        <v>0</v>
      </c>
      <c r="O35" s="25">
        <v>1</v>
      </c>
      <c r="P35" s="25">
        <v>0</v>
      </c>
      <c r="Q35" s="25">
        <v>0</v>
      </c>
      <c r="R35" s="25">
        <v>1</v>
      </c>
      <c r="S35" s="25" t="s">
        <v>1977</v>
      </c>
      <c r="T35" s="25">
        <v>4</v>
      </c>
      <c r="U35" s="25" t="s">
        <v>1977</v>
      </c>
    </row>
    <row r="36" spans="1:27" x14ac:dyDescent="0.25">
      <c r="A36" s="20" t="s">
        <v>664</v>
      </c>
      <c r="B36" s="21" t="s">
        <v>665</v>
      </c>
      <c r="C36" s="31" t="s">
        <v>666</v>
      </c>
      <c r="D36" s="31" t="s">
        <v>667</v>
      </c>
      <c r="E36" s="31" t="s">
        <v>670</v>
      </c>
      <c r="F36" s="32" t="s">
        <v>671</v>
      </c>
      <c r="G36" s="32" t="s">
        <v>672</v>
      </c>
      <c r="H36" s="25">
        <v>2</v>
      </c>
      <c r="I36" s="25">
        <v>0</v>
      </c>
      <c r="J36" s="25">
        <v>1</v>
      </c>
      <c r="K36" s="25">
        <v>1</v>
      </c>
      <c r="L36" s="25">
        <v>4</v>
      </c>
      <c r="M36" s="25" t="s">
        <v>1974</v>
      </c>
      <c r="N36" s="25">
        <v>0</v>
      </c>
      <c r="O36" s="25">
        <v>1</v>
      </c>
      <c r="P36" s="25">
        <v>0</v>
      </c>
      <c r="Q36" s="25">
        <v>0</v>
      </c>
      <c r="R36" s="25">
        <v>1</v>
      </c>
      <c r="S36" s="25" t="s">
        <v>1977</v>
      </c>
      <c r="T36" s="25">
        <v>5</v>
      </c>
      <c r="U36" s="25" t="s">
        <v>1977</v>
      </c>
    </row>
    <row r="37" spans="1:27" ht="28.5" x14ac:dyDescent="0.25">
      <c r="A37" s="20" t="s">
        <v>683</v>
      </c>
      <c r="B37" s="21" t="s">
        <v>684</v>
      </c>
      <c r="C37" s="31" t="s">
        <v>685</v>
      </c>
      <c r="D37" s="31" t="s">
        <v>686</v>
      </c>
      <c r="E37" s="31" t="s">
        <v>689</v>
      </c>
      <c r="F37" s="32" t="s">
        <v>690</v>
      </c>
      <c r="G37" s="32" t="s">
        <v>691</v>
      </c>
      <c r="H37" s="25">
        <v>1</v>
      </c>
      <c r="I37" s="25">
        <v>0</v>
      </c>
      <c r="J37" s="25">
        <v>0</v>
      </c>
      <c r="K37" s="25">
        <v>2</v>
      </c>
      <c r="L37" s="25">
        <v>3</v>
      </c>
      <c r="M37" s="25" t="s">
        <v>1976</v>
      </c>
      <c r="N37" s="25">
        <v>2</v>
      </c>
      <c r="O37" s="25">
        <v>1</v>
      </c>
      <c r="P37" s="25">
        <v>0</v>
      </c>
      <c r="Q37" s="25">
        <v>1</v>
      </c>
      <c r="R37" s="25">
        <v>4</v>
      </c>
      <c r="S37" s="25" t="s">
        <v>1976</v>
      </c>
      <c r="T37" s="25">
        <v>7</v>
      </c>
      <c r="U37" s="25" t="s">
        <v>1976</v>
      </c>
    </row>
    <row r="38" spans="1:27" x14ac:dyDescent="0.25">
      <c r="A38" s="20" t="s">
        <v>703</v>
      </c>
      <c r="B38" s="21" t="s">
        <v>704</v>
      </c>
      <c r="C38" s="31" t="s">
        <v>705</v>
      </c>
      <c r="D38" s="31" t="s">
        <v>706</v>
      </c>
      <c r="E38" s="31" t="s">
        <v>708</v>
      </c>
      <c r="F38" s="32" t="s">
        <v>709</v>
      </c>
      <c r="G38" s="32" t="s">
        <v>710</v>
      </c>
      <c r="H38" s="25">
        <v>0</v>
      </c>
      <c r="I38" s="25">
        <v>0</v>
      </c>
      <c r="J38" s="25">
        <v>0</v>
      </c>
      <c r="K38" s="25">
        <v>1</v>
      </c>
      <c r="L38" s="25">
        <v>1</v>
      </c>
      <c r="M38" s="25" t="s">
        <v>1977</v>
      </c>
      <c r="N38" s="25">
        <v>0</v>
      </c>
      <c r="O38" s="25">
        <v>1</v>
      </c>
      <c r="P38" s="25">
        <v>0</v>
      </c>
      <c r="Q38" s="25">
        <v>2</v>
      </c>
      <c r="R38" s="25">
        <v>3</v>
      </c>
      <c r="S38" s="25" t="s">
        <v>1976</v>
      </c>
      <c r="T38" s="25">
        <v>4</v>
      </c>
      <c r="U38" s="25" t="s">
        <v>1977</v>
      </c>
    </row>
    <row r="39" spans="1:27" x14ac:dyDescent="0.25">
      <c r="A39" s="20" t="s">
        <v>723</v>
      </c>
      <c r="B39" s="21" t="s">
        <v>724</v>
      </c>
      <c r="C39" s="31" t="s">
        <v>725</v>
      </c>
      <c r="D39" s="31" t="s">
        <v>726</v>
      </c>
      <c r="E39" s="31" t="s">
        <v>729</v>
      </c>
      <c r="F39" s="32" t="s">
        <v>730</v>
      </c>
      <c r="G39" s="32"/>
      <c r="H39" s="25">
        <v>0</v>
      </c>
      <c r="I39" s="25">
        <v>0</v>
      </c>
      <c r="J39" s="25">
        <v>0</v>
      </c>
      <c r="K39" s="25">
        <v>0</v>
      </c>
      <c r="L39" s="25">
        <v>0</v>
      </c>
      <c r="M39" s="25" t="s">
        <v>1977</v>
      </c>
      <c r="N39" s="25">
        <v>1</v>
      </c>
      <c r="O39" s="25">
        <v>3</v>
      </c>
      <c r="P39" s="25">
        <v>1</v>
      </c>
      <c r="Q39" s="25">
        <v>1</v>
      </c>
      <c r="R39" s="25">
        <v>6</v>
      </c>
      <c r="S39" s="25" t="s">
        <v>1974</v>
      </c>
      <c r="T39" s="25">
        <v>6</v>
      </c>
      <c r="U39" s="25" t="s">
        <v>1976</v>
      </c>
    </row>
    <row r="40" spans="1:27" x14ac:dyDescent="0.25">
      <c r="A40" s="20" t="s">
        <v>744</v>
      </c>
      <c r="B40" s="21" t="s">
        <v>745</v>
      </c>
      <c r="C40" s="31" t="s">
        <v>746</v>
      </c>
      <c r="D40" s="31" t="s">
        <v>747</v>
      </c>
      <c r="E40" s="31" t="s">
        <v>750</v>
      </c>
      <c r="F40" s="32" t="s">
        <v>232</v>
      </c>
      <c r="G40" s="32" t="s">
        <v>751</v>
      </c>
      <c r="H40" s="25">
        <v>0</v>
      </c>
      <c r="I40" s="25">
        <v>0</v>
      </c>
      <c r="J40" s="25">
        <v>0</v>
      </c>
      <c r="K40" s="25">
        <v>1</v>
      </c>
      <c r="L40" s="25">
        <v>1</v>
      </c>
      <c r="M40" s="25" t="s">
        <v>1977</v>
      </c>
      <c r="N40" s="25">
        <v>3</v>
      </c>
      <c r="O40" s="25">
        <v>2</v>
      </c>
      <c r="P40" s="25">
        <v>0</v>
      </c>
      <c r="Q40" s="25">
        <v>1</v>
      </c>
      <c r="R40" s="25">
        <v>6</v>
      </c>
      <c r="S40" s="25" t="s">
        <v>1974</v>
      </c>
      <c r="T40" s="25">
        <v>7</v>
      </c>
      <c r="U40" s="25" t="s">
        <v>1976</v>
      </c>
    </row>
    <row r="41" spans="1:27" ht="28.5" x14ac:dyDescent="0.25">
      <c r="A41" s="20" t="s">
        <v>767</v>
      </c>
      <c r="B41" s="21" t="s">
        <v>768</v>
      </c>
      <c r="C41" s="31" t="s">
        <v>769</v>
      </c>
      <c r="D41" s="31" t="s">
        <v>770</v>
      </c>
      <c r="E41" s="31" t="s">
        <v>773</v>
      </c>
      <c r="F41" s="32" t="s">
        <v>232</v>
      </c>
      <c r="G41" s="32" t="s">
        <v>774</v>
      </c>
      <c r="H41" s="25">
        <v>0</v>
      </c>
      <c r="I41" s="25">
        <v>0</v>
      </c>
      <c r="J41" s="25">
        <v>0</v>
      </c>
      <c r="K41" s="25">
        <v>0</v>
      </c>
      <c r="L41" s="25">
        <v>0</v>
      </c>
      <c r="M41" s="25" t="s">
        <v>1977</v>
      </c>
      <c r="N41" s="25">
        <v>2</v>
      </c>
      <c r="O41" s="25">
        <v>2</v>
      </c>
      <c r="P41" s="25">
        <v>0</v>
      </c>
      <c r="Q41" s="25">
        <v>3</v>
      </c>
      <c r="R41" s="25">
        <v>7</v>
      </c>
      <c r="S41" s="25" t="s">
        <v>1975</v>
      </c>
      <c r="T41" s="25">
        <v>7</v>
      </c>
      <c r="U41" s="25" t="s">
        <v>1976</v>
      </c>
    </row>
    <row r="42" spans="1:27" x14ac:dyDescent="0.25">
      <c r="A42" s="20" t="s">
        <v>787</v>
      </c>
      <c r="B42" s="21" t="s">
        <v>788</v>
      </c>
      <c r="C42" s="31" t="s">
        <v>789</v>
      </c>
      <c r="D42" s="31" t="s">
        <v>1993</v>
      </c>
      <c r="E42" s="31" t="s">
        <v>794</v>
      </c>
      <c r="F42" s="32" t="s">
        <v>795</v>
      </c>
      <c r="G42" s="32"/>
      <c r="H42" s="25">
        <v>0</v>
      </c>
      <c r="I42" s="25">
        <v>1</v>
      </c>
      <c r="J42" s="25">
        <v>0</v>
      </c>
      <c r="K42" s="25">
        <v>0</v>
      </c>
      <c r="L42" s="25">
        <v>1</v>
      </c>
      <c r="M42" s="25" t="s">
        <v>1977</v>
      </c>
      <c r="N42" s="25">
        <v>1</v>
      </c>
      <c r="O42" s="25">
        <v>1</v>
      </c>
      <c r="P42" s="25">
        <v>2</v>
      </c>
      <c r="Q42" s="25">
        <v>1</v>
      </c>
      <c r="R42" s="25">
        <v>5</v>
      </c>
      <c r="S42" s="25" t="s">
        <v>1974</v>
      </c>
      <c r="T42" s="25">
        <v>6</v>
      </c>
      <c r="U42" s="25" t="s">
        <v>1976</v>
      </c>
    </row>
    <row r="43" spans="1:27" x14ac:dyDescent="0.25">
      <c r="A43" s="20" t="s">
        <v>807</v>
      </c>
      <c r="B43" s="21" t="s">
        <v>808</v>
      </c>
      <c r="C43" s="31" t="s">
        <v>809</v>
      </c>
      <c r="D43" s="31" t="s">
        <v>810</v>
      </c>
      <c r="E43" s="31" t="s">
        <v>813</v>
      </c>
      <c r="F43" s="32" t="s">
        <v>814</v>
      </c>
      <c r="G43" s="32" t="s">
        <v>815</v>
      </c>
      <c r="H43" s="25">
        <v>0</v>
      </c>
      <c r="I43" s="25">
        <v>0</v>
      </c>
      <c r="J43" s="25">
        <v>0</v>
      </c>
      <c r="K43" s="25">
        <v>0</v>
      </c>
      <c r="L43" s="25">
        <v>0</v>
      </c>
      <c r="M43" s="25" t="s">
        <v>1977</v>
      </c>
      <c r="N43" s="25">
        <v>1</v>
      </c>
      <c r="O43" s="25">
        <v>2</v>
      </c>
      <c r="P43" s="25">
        <v>1</v>
      </c>
      <c r="Q43" s="25">
        <v>0</v>
      </c>
      <c r="R43" s="25">
        <v>4</v>
      </c>
      <c r="S43" s="25" t="s">
        <v>1976</v>
      </c>
      <c r="T43" s="25">
        <v>4</v>
      </c>
      <c r="U43" s="25" t="s">
        <v>1977</v>
      </c>
    </row>
    <row r="44" spans="1:27" x14ac:dyDescent="0.25">
      <c r="A44" s="40" t="s">
        <v>828</v>
      </c>
      <c r="B44" s="21" t="s">
        <v>829</v>
      </c>
      <c r="C44" s="31" t="s">
        <v>830</v>
      </c>
      <c r="D44" s="31" t="s">
        <v>831</v>
      </c>
      <c r="E44" s="31" t="s">
        <v>834</v>
      </c>
      <c r="F44" s="32" t="s">
        <v>835</v>
      </c>
      <c r="G44" s="32" t="s">
        <v>836</v>
      </c>
      <c r="H44" s="25">
        <v>1</v>
      </c>
      <c r="I44" s="25">
        <v>0</v>
      </c>
      <c r="J44" s="25">
        <v>0</v>
      </c>
      <c r="K44" s="25">
        <v>0</v>
      </c>
      <c r="L44" s="25">
        <v>1</v>
      </c>
      <c r="M44" s="25" t="s">
        <v>1977</v>
      </c>
      <c r="N44" s="25">
        <v>0</v>
      </c>
      <c r="O44" s="25">
        <v>2</v>
      </c>
      <c r="P44" s="25">
        <v>3</v>
      </c>
      <c r="Q44" s="25">
        <v>0</v>
      </c>
      <c r="R44" s="25">
        <v>5</v>
      </c>
      <c r="S44" s="25" t="s">
        <v>1974</v>
      </c>
      <c r="T44" s="25">
        <v>6</v>
      </c>
      <c r="U44" s="25" t="s">
        <v>1976</v>
      </c>
    </row>
    <row r="45" spans="1:27" x14ac:dyDescent="0.2">
      <c r="A45" s="40" t="s">
        <v>852</v>
      </c>
      <c r="B45" s="54" t="s">
        <v>853</v>
      </c>
      <c r="C45" s="50" t="s">
        <v>1994</v>
      </c>
      <c r="D45" s="50" t="s">
        <v>1995</v>
      </c>
      <c r="E45" s="50" t="s">
        <v>1996</v>
      </c>
      <c r="F45" s="52" t="s">
        <v>1997</v>
      </c>
      <c r="G45" s="52" t="s">
        <v>1998</v>
      </c>
      <c r="H45" s="26">
        <v>0</v>
      </c>
      <c r="I45" s="26">
        <v>0</v>
      </c>
      <c r="J45" s="26">
        <v>1</v>
      </c>
      <c r="K45" s="26">
        <v>0</v>
      </c>
      <c r="L45" s="26">
        <v>1</v>
      </c>
      <c r="M45" s="26" t="s">
        <v>1977</v>
      </c>
      <c r="N45" s="26">
        <v>1</v>
      </c>
      <c r="O45" s="26">
        <v>1</v>
      </c>
      <c r="P45" s="26">
        <v>2</v>
      </c>
      <c r="Q45" s="26">
        <v>1</v>
      </c>
      <c r="R45" s="26">
        <v>5</v>
      </c>
      <c r="S45" s="26" t="s">
        <v>1974</v>
      </c>
      <c r="T45" s="26">
        <v>6</v>
      </c>
      <c r="U45" s="26" t="s">
        <v>1977</v>
      </c>
      <c r="V45" s="55"/>
      <c r="W45" s="55"/>
      <c r="X45" s="55"/>
      <c r="Y45" s="55"/>
      <c r="Z45" s="55"/>
      <c r="AA45" s="55"/>
    </row>
  </sheetData>
  <autoFilter ref="A1:AA43" xr:uid="{C037CE49-24A4-4EA8-9981-4F09A1DDEB66}">
    <sortState xmlns:xlrd2="http://schemas.microsoft.com/office/spreadsheetml/2017/richdata2" ref="A2:V43">
      <sortCondition ref="A1:A43"/>
    </sortState>
  </autoFilter>
  <phoneticPr fontId="12"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8934B-410F-4A94-B457-A9DABBE5A5A4}">
  <dimension ref="A1"/>
  <sheetViews>
    <sheetView workbookViewId="0"/>
  </sheetViews>
  <sheetFormatPr defaultRowHeight="15" x14ac:dyDescent="0.25"/>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80B22-7AA7-45BC-BDB9-5D437DC97047}">
  <dimension ref="A1:J45"/>
  <sheetViews>
    <sheetView tabSelected="1" workbookViewId="0">
      <selection activeCell="B2" sqref="B2"/>
    </sheetView>
  </sheetViews>
  <sheetFormatPr defaultRowHeight="15" x14ac:dyDescent="0.25"/>
  <cols>
    <col min="2" max="2" width="19.140625" style="69" customWidth="1"/>
    <col min="3" max="3" width="14.7109375" style="26" customWidth="1"/>
    <col min="4" max="4" width="18.140625" style="69" customWidth="1"/>
    <col min="5" max="10" width="18.140625" style="67" customWidth="1"/>
  </cols>
  <sheetData>
    <row r="1" spans="1:10" s="76" customFormat="1" x14ac:dyDescent="0.25">
      <c r="A1" s="74" t="s">
        <v>0</v>
      </c>
      <c r="B1" s="70" t="s">
        <v>2006</v>
      </c>
      <c r="C1" s="71" t="s">
        <v>2007</v>
      </c>
      <c r="D1" s="69" t="s">
        <v>1999</v>
      </c>
      <c r="E1" s="75" t="s">
        <v>2000</v>
      </c>
      <c r="F1" s="75" t="s">
        <v>2001</v>
      </c>
      <c r="G1" s="75" t="s">
        <v>2002</v>
      </c>
      <c r="H1" s="75" t="s">
        <v>2003</v>
      </c>
      <c r="I1" s="75" t="s">
        <v>2004</v>
      </c>
      <c r="J1" s="75" t="s">
        <v>2005</v>
      </c>
    </row>
    <row r="2" spans="1:10" x14ac:dyDescent="0.25">
      <c r="A2" t="s">
        <v>33</v>
      </c>
      <c r="B2" s="69">
        <f>CEILING(D2,100)</f>
        <v>429800</v>
      </c>
      <c r="C2" s="26" t="str">
        <f>IF(D2&gt;=100000,FLOOR(D2/1000,100)&amp;"K - "&amp;(FLOOR(D2/1000,100)+100)&amp;"K",IF(D2&gt;=10000,FLOOR(D2/1000,10)&amp;"K - "&amp;(FLOOR(D2/1000,10)+50)&amp;"K","&lt;10K"))</f>
        <v>400K - 500K</v>
      </c>
      <c r="D2" s="69">
        <v>429790.07</v>
      </c>
      <c r="E2" s="67">
        <v>364165.28</v>
      </c>
      <c r="F2" s="67">
        <v>0</v>
      </c>
      <c r="G2" s="67">
        <v>8000</v>
      </c>
      <c r="H2" s="67">
        <v>0</v>
      </c>
      <c r="I2" s="67">
        <v>3000</v>
      </c>
      <c r="J2" s="67">
        <v>54624.79</v>
      </c>
    </row>
    <row r="3" spans="1:10" x14ac:dyDescent="0.25">
      <c r="A3" t="s">
        <v>60</v>
      </c>
      <c r="B3" s="69">
        <f t="shared" ref="B3:B45" si="0">CEILING(D3,100)</f>
        <v>298400</v>
      </c>
      <c r="C3" s="26" t="str">
        <f t="shared" ref="C3:C45" si="1">IF(D3&gt;=100000,FLOOR(D3/1000,100)&amp;"K - "&amp;(FLOOR(D3/1000,100)+100)&amp;"K",IF(D3&gt;=10000,FLOOR(D3/1000,10)&amp;"K - "&amp;(FLOOR(D3/1000,10)+50)&amp;"K","&lt;10K"))</f>
        <v>200K - 300K</v>
      </c>
      <c r="D3" s="69">
        <v>298363.82</v>
      </c>
      <c r="E3" s="67">
        <v>243794.63</v>
      </c>
      <c r="F3" s="67">
        <v>0</v>
      </c>
      <c r="G3" s="67">
        <v>15000</v>
      </c>
      <c r="H3" s="67">
        <v>0</v>
      </c>
      <c r="I3" s="67">
        <v>3000</v>
      </c>
      <c r="J3" s="67">
        <v>36569.19</v>
      </c>
    </row>
    <row r="4" spans="1:10" x14ac:dyDescent="0.25">
      <c r="A4" t="s">
        <v>77</v>
      </c>
      <c r="B4" s="69">
        <f t="shared" si="0"/>
        <v>301900</v>
      </c>
      <c r="C4" s="26" t="str">
        <f t="shared" si="1"/>
        <v>300K - 400K</v>
      </c>
      <c r="D4" s="69">
        <v>301855.63</v>
      </c>
      <c r="E4" s="67">
        <v>256396.2</v>
      </c>
      <c r="F4" s="67">
        <v>0</v>
      </c>
      <c r="G4" s="67">
        <v>5000</v>
      </c>
      <c r="H4" s="67">
        <v>0</v>
      </c>
      <c r="I4" s="67">
        <v>2000</v>
      </c>
      <c r="J4" s="67">
        <v>38459.43</v>
      </c>
    </row>
    <row r="5" spans="1:10" x14ac:dyDescent="0.25">
      <c r="A5" t="s">
        <v>99</v>
      </c>
      <c r="B5" s="69">
        <f t="shared" si="0"/>
        <v>179700</v>
      </c>
      <c r="C5" s="26" t="str">
        <f t="shared" si="1"/>
        <v>100K - 200K</v>
      </c>
      <c r="D5" s="69">
        <v>179607.4</v>
      </c>
      <c r="E5" s="67">
        <v>141397.74</v>
      </c>
      <c r="F5" s="67">
        <v>0</v>
      </c>
      <c r="G5" s="67">
        <v>10000</v>
      </c>
      <c r="H5" s="67">
        <v>5000</v>
      </c>
      <c r="I5" s="67">
        <v>2000</v>
      </c>
      <c r="J5" s="67">
        <v>21209.66</v>
      </c>
    </row>
    <row r="6" spans="1:10" x14ac:dyDescent="0.25">
      <c r="A6" t="s">
        <v>121</v>
      </c>
      <c r="B6" s="69">
        <f t="shared" si="0"/>
        <v>181700</v>
      </c>
      <c r="C6" s="26" t="str">
        <f t="shared" si="1"/>
        <v>100K - 200K</v>
      </c>
      <c r="D6" s="69">
        <v>181655.48</v>
      </c>
      <c r="E6" s="67">
        <v>166338.54999999999</v>
      </c>
      <c r="F6" s="67">
        <v>0</v>
      </c>
      <c r="G6" s="67">
        <v>5000</v>
      </c>
      <c r="H6" s="67">
        <v>0</v>
      </c>
      <c r="I6" s="67">
        <v>2000</v>
      </c>
      <c r="J6" s="67">
        <v>8316.93</v>
      </c>
    </row>
    <row r="7" spans="1:10" x14ac:dyDescent="0.25">
      <c r="A7" t="s">
        <v>140</v>
      </c>
      <c r="B7" s="69">
        <f t="shared" si="0"/>
        <v>159400</v>
      </c>
      <c r="C7" s="26" t="str">
        <f t="shared" si="1"/>
        <v>100K - 200K</v>
      </c>
      <c r="D7" s="69">
        <v>159356.69</v>
      </c>
      <c r="E7" s="67">
        <v>145101.60999999999</v>
      </c>
      <c r="F7" s="67">
        <v>0</v>
      </c>
      <c r="G7" s="67">
        <v>5000</v>
      </c>
      <c r="H7" s="67">
        <v>0</v>
      </c>
      <c r="I7" s="67">
        <v>2000</v>
      </c>
      <c r="J7" s="67">
        <v>7255.08</v>
      </c>
    </row>
    <row r="8" spans="1:10" x14ac:dyDescent="0.25">
      <c r="A8" t="s">
        <v>164</v>
      </c>
      <c r="B8" s="69">
        <f t="shared" si="0"/>
        <v>229700</v>
      </c>
      <c r="C8" s="26" t="str">
        <f t="shared" si="1"/>
        <v>200K - 300K</v>
      </c>
      <c r="D8" s="69">
        <v>229645.43</v>
      </c>
      <c r="E8" s="67">
        <v>184039.5</v>
      </c>
      <c r="F8" s="67">
        <v>0</v>
      </c>
      <c r="G8" s="67">
        <v>15000</v>
      </c>
      <c r="H8" s="67">
        <v>0</v>
      </c>
      <c r="I8" s="67">
        <v>3000</v>
      </c>
      <c r="J8" s="67">
        <v>27605.93</v>
      </c>
    </row>
    <row r="9" spans="1:10" x14ac:dyDescent="0.25">
      <c r="A9" t="s">
        <v>1061</v>
      </c>
      <c r="B9" s="69">
        <f t="shared" si="0"/>
        <v>151800</v>
      </c>
      <c r="C9" s="26" t="str">
        <f t="shared" si="1"/>
        <v>100K - 200K</v>
      </c>
      <c r="D9" s="69">
        <v>151711.53</v>
      </c>
      <c r="E9" s="67">
        <v>134010.98000000001</v>
      </c>
      <c r="F9" s="67">
        <v>0</v>
      </c>
      <c r="G9" s="67">
        <v>8000</v>
      </c>
      <c r="H9" s="67">
        <v>0</v>
      </c>
      <c r="I9" s="67">
        <v>3000</v>
      </c>
      <c r="J9" s="67">
        <v>6700.55</v>
      </c>
    </row>
    <row r="10" spans="1:10" x14ac:dyDescent="0.25">
      <c r="A10" t="s">
        <v>187</v>
      </c>
      <c r="B10" s="69">
        <f t="shared" si="0"/>
        <v>392900</v>
      </c>
      <c r="C10" s="26" t="str">
        <f t="shared" si="1"/>
        <v>300K - 400K</v>
      </c>
      <c r="D10" s="69">
        <v>392810.75</v>
      </c>
      <c r="E10" s="67">
        <v>306791.96000000002</v>
      </c>
      <c r="F10" s="67">
        <v>0</v>
      </c>
      <c r="G10" s="67">
        <v>25000</v>
      </c>
      <c r="H10" s="67">
        <v>10000</v>
      </c>
      <c r="I10" s="67">
        <v>5000</v>
      </c>
      <c r="J10" s="67">
        <v>46018.79</v>
      </c>
    </row>
    <row r="11" spans="1:10" x14ac:dyDescent="0.25">
      <c r="A11" t="s">
        <v>211</v>
      </c>
      <c r="B11" s="69">
        <f t="shared" si="0"/>
        <v>270900</v>
      </c>
      <c r="C11" s="26" t="str">
        <f t="shared" si="1"/>
        <v>200K - 300K</v>
      </c>
      <c r="D11" s="69">
        <v>270801.03999999998</v>
      </c>
      <c r="E11" s="67">
        <v>218087.86</v>
      </c>
      <c r="F11" s="67">
        <v>0</v>
      </c>
      <c r="G11" s="67">
        <v>10000</v>
      </c>
      <c r="H11" s="67">
        <v>5000</v>
      </c>
      <c r="I11" s="67">
        <v>5000</v>
      </c>
      <c r="J11" s="67">
        <v>32713.18</v>
      </c>
    </row>
    <row r="12" spans="1:10" x14ac:dyDescent="0.25">
      <c r="A12" t="s">
        <v>232</v>
      </c>
      <c r="B12" s="69">
        <f t="shared" si="0"/>
        <v>156900</v>
      </c>
      <c r="C12" s="26" t="str">
        <f t="shared" si="1"/>
        <v>100K - 200K</v>
      </c>
      <c r="D12" s="69">
        <v>156884.47</v>
      </c>
      <c r="E12" s="67">
        <v>137032.82999999999</v>
      </c>
      <c r="F12" s="67">
        <v>0</v>
      </c>
      <c r="G12" s="67">
        <v>0</v>
      </c>
      <c r="H12" s="67">
        <v>8000</v>
      </c>
      <c r="I12" s="67">
        <v>5000</v>
      </c>
      <c r="J12" s="67">
        <v>6851.64</v>
      </c>
    </row>
    <row r="13" spans="1:10" x14ac:dyDescent="0.25">
      <c r="A13" t="s">
        <v>257</v>
      </c>
      <c r="B13" s="69">
        <f t="shared" si="0"/>
        <v>412300</v>
      </c>
      <c r="C13" s="26" t="str">
        <f t="shared" si="1"/>
        <v>400K - 500K</v>
      </c>
      <c r="D13" s="69">
        <v>412216.68</v>
      </c>
      <c r="E13" s="67">
        <v>332362.33</v>
      </c>
      <c r="F13" s="67">
        <v>0</v>
      </c>
      <c r="G13" s="67">
        <v>20000</v>
      </c>
      <c r="H13" s="67">
        <v>5000</v>
      </c>
      <c r="I13" s="67">
        <v>5000</v>
      </c>
      <c r="J13" s="67">
        <v>49854.35</v>
      </c>
    </row>
    <row r="14" spans="1:10" x14ac:dyDescent="0.25">
      <c r="A14" t="s">
        <v>283</v>
      </c>
      <c r="B14" s="69">
        <f t="shared" si="0"/>
        <v>153400</v>
      </c>
      <c r="C14" s="26" t="str">
        <f t="shared" si="1"/>
        <v>100K - 200K</v>
      </c>
      <c r="D14" s="69">
        <v>153330.29</v>
      </c>
      <c r="E14" s="67">
        <v>139362.18</v>
      </c>
      <c r="F14" s="67">
        <v>0</v>
      </c>
      <c r="G14" s="67">
        <v>5000</v>
      </c>
      <c r="H14" s="67">
        <v>0</v>
      </c>
      <c r="I14" s="67">
        <v>2000</v>
      </c>
      <c r="J14" s="67">
        <v>6968.11</v>
      </c>
    </row>
    <row r="15" spans="1:10" x14ac:dyDescent="0.25">
      <c r="A15" t="s">
        <v>300</v>
      </c>
      <c r="B15" s="69">
        <f t="shared" si="0"/>
        <v>202400</v>
      </c>
      <c r="C15" s="26" t="str">
        <f t="shared" si="1"/>
        <v>200K - 300K</v>
      </c>
      <c r="D15" s="69">
        <v>202372.29</v>
      </c>
      <c r="E15" s="67">
        <v>165541.12</v>
      </c>
      <c r="F15" s="67">
        <v>0</v>
      </c>
      <c r="G15" s="67">
        <v>10000</v>
      </c>
      <c r="H15" s="67">
        <v>0</v>
      </c>
      <c r="I15" s="67">
        <v>2000</v>
      </c>
      <c r="J15" s="67">
        <v>24831.17</v>
      </c>
    </row>
    <row r="16" spans="1:10" x14ac:dyDescent="0.25">
      <c r="A16" t="s">
        <v>319</v>
      </c>
      <c r="B16" s="69">
        <f t="shared" si="0"/>
        <v>152600</v>
      </c>
      <c r="C16" s="26" t="str">
        <f t="shared" si="1"/>
        <v>100K - 200K</v>
      </c>
      <c r="D16" s="69">
        <v>152528.84</v>
      </c>
      <c r="E16" s="67">
        <v>123938.12</v>
      </c>
      <c r="F16" s="67">
        <v>0</v>
      </c>
      <c r="G16" s="67">
        <v>5000</v>
      </c>
      <c r="H16" s="67">
        <v>3000</v>
      </c>
      <c r="I16" s="67">
        <v>2000</v>
      </c>
      <c r="J16" s="67">
        <v>18590.72</v>
      </c>
    </row>
    <row r="17" spans="1:10" x14ac:dyDescent="0.25">
      <c r="A17" t="s">
        <v>337</v>
      </c>
      <c r="B17" s="69">
        <f t="shared" si="0"/>
        <v>193200</v>
      </c>
      <c r="C17" s="26" t="str">
        <f t="shared" si="1"/>
        <v>100K - 200K</v>
      </c>
      <c r="D17" s="69">
        <v>193177.60000000001</v>
      </c>
      <c r="E17" s="67">
        <v>150589.22</v>
      </c>
      <c r="F17" s="67">
        <v>0</v>
      </c>
      <c r="G17" s="67">
        <v>15000</v>
      </c>
      <c r="H17" s="67">
        <v>0</v>
      </c>
      <c r="I17" s="67">
        <v>5000</v>
      </c>
      <c r="J17" s="67">
        <v>22588.38</v>
      </c>
    </row>
    <row r="18" spans="1:10" x14ac:dyDescent="0.25">
      <c r="A18" t="s">
        <v>356</v>
      </c>
      <c r="B18" s="69">
        <f t="shared" si="0"/>
        <v>136600</v>
      </c>
      <c r="C18" s="26" t="str">
        <f t="shared" si="1"/>
        <v>100K - 200K</v>
      </c>
      <c r="D18" s="69">
        <v>136545.29</v>
      </c>
      <c r="E18" s="67">
        <v>105691.56</v>
      </c>
      <c r="F18" s="67">
        <v>0</v>
      </c>
      <c r="G18" s="67">
        <v>12000</v>
      </c>
      <c r="H18" s="67">
        <v>0</v>
      </c>
      <c r="I18" s="67">
        <v>3000</v>
      </c>
      <c r="J18" s="67">
        <v>15853.73</v>
      </c>
    </row>
    <row r="19" spans="1:10" x14ac:dyDescent="0.25">
      <c r="A19" t="s">
        <v>376</v>
      </c>
      <c r="B19" s="69">
        <f t="shared" si="0"/>
        <v>298300</v>
      </c>
      <c r="C19" s="26" t="str">
        <f t="shared" si="1"/>
        <v>200K - 300K</v>
      </c>
      <c r="D19" s="69">
        <v>298243.17</v>
      </c>
      <c r="E19" s="67">
        <v>243689.71</v>
      </c>
      <c r="F19" s="67">
        <v>0</v>
      </c>
      <c r="G19" s="67">
        <v>15000</v>
      </c>
      <c r="H19" s="67">
        <v>0</v>
      </c>
      <c r="I19" s="67">
        <v>3000</v>
      </c>
      <c r="J19" s="67">
        <v>36553.46</v>
      </c>
    </row>
    <row r="20" spans="1:10" x14ac:dyDescent="0.25">
      <c r="A20" t="s">
        <v>392</v>
      </c>
      <c r="B20" s="69">
        <f t="shared" si="0"/>
        <v>174300</v>
      </c>
      <c r="C20" s="26" t="str">
        <f t="shared" si="1"/>
        <v>100K - 200K</v>
      </c>
      <c r="D20" s="69">
        <v>174248.17</v>
      </c>
      <c r="E20" s="67">
        <v>108041.89</v>
      </c>
      <c r="F20" s="67">
        <v>35000</v>
      </c>
      <c r="G20" s="67">
        <v>10000</v>
      </c>
      <c r="H20" s="67">
        <v>0</v>
      </c>
      <c r="I20" s="67">
        <v>5000</v>
      </c>
      <c r="J20" s="67">
        <v>16206.28</v>
      </c>
    </row>
    <row r="21" spans="1:10" x14ac:dyDescent="0.25">
      <c r="A21" t="s">
        <v>409</v>
      </c>
      <c r="B21" s="69">
        <f t="shared" si="0"/>
        <v>92900</v>
      </c>
      <c r="C21" s="26" t="str">
        <f t="shared" si="1"/>
        <v>90K - 140K</v>
      </c>
      <c r="D21" s="69">
        <v>92888.95</v>
      </c>
      <c r="E21" s="67">
        <v>74686.039999999994</v>
      </c>
      <c r="F21" s="67">
        <v>0</v>
      </c>
      <c r="G21" s="67">
        <v>5000</v>
      </c>
      <c r="H21" s="67">
        <v>0</v>
      </c>
      <c r="I21" s="67">
        <v>2000</v>
      </c>
      <c r="J21" s="67">
        <v>11202.91</v>
      </c>
    </row>
    <row r="22" spans="1:10" x14ac:dyDescent="0.25">
      <c r="A22" t="s">
        <v>431</v>
      </c>
      <c r="B22" s="69">
        <f t="shared" si="0"/>
        <v>271200</v>
      </c>
      <c r="C22" s="26" t="str">
        <f t="shared" si="1"/>
        <v>200K - 300K</v>
      </c>
      <c r="D22" s="69">
        <v>271119.26</v>
      </c>
      <c r="E22" s="67">
        <v>214016.75</v>
      </c>
      <c r="F22" s="67">
        <v>0</v>
      </c>
      <c r="G22" s="67">
        <v>20000</v>
      </c>
      <c r="H22" s="67">
        <v>0</v>
      </c>
      <c r="I22" s="67">
        <v>5000</v>
      </c>
      <c r="J22" s="67">
        <v>32102.51</v>
      </c>
    </row>
    <row r="23" spans="1:10" x14ac:dyDescent="0.25">
      <c r="A23" t="s">
        <v>454</v>
      </c>
      <c r="B23" s="69">
        <f t="shared" si="0"/>
        <v>153100</v>
      </c>
      <c r="C23" s="26" t="str">
        <f t="shared" si="1"/>
        <v>100K - 200K</v>
      </c>
      <c r="D23" s="69">
        <v>153064.20000000001</v>
      </c>
      <c r="E23" s="67">
        <v>113099.3</v>
      </c>
      <c r="F23" s="67">
        <v>0</v>
      </c>
      <c r="G23" s="67">
        <v>20000</v>
      </c>
      <c r="H23" s="67">
        <v>0</v>
      </c>
      <c r="I23" s="67">
        <v>3000</v>
      </c>
      <c r="J23" s="67">
        <v>16964.900000000001</v>
      </c>
    </row>
    <row r="24" spans="1:10" x14ac:dyDescent="0.25">
      <c r="A24" t="s">
        <v>1378</v>
      </c>
      <c r="B24" s="69">
        <f t="shared" si="0"/>
        <v>152000</v>
      </c>
      <c r="C24" s="26" t="str">
        <f t="shared" si="1"/>
        <v>100K - 200K</v>
      </c>
      <c r="D24" s="69">
        <v>151946.62</v>
      </c>
      <c r="E24" s="67">
        <v>121692.71</v>
      </c>
      <c r="F24" s="67">
        <v>0</v>
      </c>
      <c r="G24" s="67">
        <v>10000</v>
      </c>
      <c r="H24" s="67">
        <v>0</v>
      </c>
      <c r="I24" s="67">
        <v>2000</v>
      </c>
      <c r="J24" s="67">
        <v>18253.91</v>
      </c>
    </row>
    <row r="25" spans="1:10" x14ac:dyDescent="0.25">
      <c r="A25" t="s">
        <v>473</v>
      </c>
      <c r="B25" s="69">
        <f t="shared" si="0"/>
        <v>173800</v>
      </c>
      <c r="C25" s="26" t="str">
        <f t="shared" si="1"/>
        <v>100K - 200K</v>
      </c>
      <c r="D25" s="69">
        <v>173715.84</v>
      </c>
      <c r="E25" s="67">
        <v>120622.47</v>
      </c>
      <c r="F25" s="67">
        <v>15000</v>
      </c>
      <c r="G25" s="67">
        <v>10000</v>
      </c>
      <c r="H25" s="67">
        <v>5000</v>
      </c>
      <c r="I25" s="67">
        <v>5000</v>
      </c>
      <c r="J25" s="67">
        <v>18093.37</v>
      </c>
    </row>
    <row r="26" spans="1:10" x14ac:dyDescent="0.25">
      <c r="A26" t="s">
        <v>491</v>
      </c>
      <c r="B26" s="69">
        <f t="shared" si="0"/>
        <v>193700</v>
      </c>
      <c r="C26" s="26" t="str">
        <f t="shared" si="1"/>
        <v>100K - 200K</v>
      </c>
      <c r="D26" s="69">
        <v>193601.34</v>
      </c>
      <c r="E26" s="67">
        <v>137914.21</v>
      </c>
      <c r="F26" s="67">
        <v>10000</v>
      </c>
      <c r="G26" s="67">
        <v>10000</v>
      </c>
      <c r="H26" s="67">
        <v>10000</v>
      </c>
      <c r="I26" s="67">
        <v>5000</v>
      </c>
      <c r="J26" s="67">
        <v>20687.13</v>
      </c>
    </row>
    <row r="27" spans="1:10" x14ac:dyDescent="0.25">
      <c r="A27" t="s">
        <v>508</v>
      </c>
      <c r="B27" s="69">
        <f t="shared" si="0"/>
        <v>91400</v>
      </c>
      <c r="C27" s="26" t="str">
        <f t="shared" si="1"/>
        <v>90K - 140K</v>
      </c>
      <c r="D27" s="69">
        <v>91300.96</v>
      </c>
      <c r="E27" s="67">
        <v>79334.25</v>
      </c>
      <c r="F27" s="67">
        <v>0</v>
      </c>
      <c r="G27" s="67">
        <v>0</v>
      </c>
      <c r="H27" s="67">
        <v>5000</v>
      </c>
      <c r="I27" s="67">
        <v>3000</v>
      </c>
      <c r="J27" s="67">
        <v>3966.71</v>
      </c>
    </row>
    <row r="28" spans="1:10" x14ac:dyDescent="0.25">
      <c r="A28" t="s">
        <v>525</v>
      </c>
      <c r="B28" s="69">
        <f t="shared" si="0"/>
        <v>37200</v>
      </c>
      <c r="C28" s="26" t="str">
        <f t="shared" si="1"/>
        <v>30K - 80K</v>
      </c>
      <c r="D28" s="69">
        <v>37115.1</v>
      </c>
      <c r="E28" s="67">
        <v>30585.81</v>
      </c>
      <c r="F28" s="67">
        <v>0</v>
      </c>
      <c r="G28" s="67">
        <v>0</v>
      </c>
      <c r="H28" s="67">
        <v>3000</v>
      </c>
      <c r="I28" s="67">
        <v>2000</v>
      </c>
      <c r="J28" s="67">
        <v>1529.29</v>
      </c>
    </row>
    <row r="29" spans="1:10" x14ac:dyDescent="0.25">
      <c r="A29" t="s">
        <v>540</v>
      </c>
      <c r="B29" s="69">
        <f t="shared" si="0"/>
        <v>439900</v>
      </c>
      <c r="C29" s="26" t="str">
        <f t="shared" si="1"/>
        <v>400K - 500K</v>
      </c>
      <c r="D29" s="69">
        <v>439869.84</v>
      </c>
      <c r="E29" s="67">
        <v>340756.38</v>
      </c>
      <c r="F29" s="67">
        <v>0</v>
      </c>
      <c r="G29" s="67">
        <v>40000</v>
      </c>
      <c r="H29" s="67">
        <v>0</v>
      </c>
      <c r="I29" s="67">
        <v>8000</v>
      </c>
      <c r="J29" s="67">
        <v>51113.46</v>
      </c>
    </row>
    <row r="30" spans="1:10" x14ac:dyDescent="0.25">
      <c r="A30" t="s">
        <v>558</v>
      </c>
      <c r="B30" s="69">
        <f t="shared" si="0"/>
        <v>172500</v>
      </c>
      <c r="C30" s="26" t="str">
        <f t="shared" si="1"/>
        <v>100K - 200K</v>
      </c>
      <c r="D30" s="69">
        <v>172462.34</v>
      </c>
      <c r="E30" s="67">
        <v>106488.99</v>
      </c>
      <c r="F30" s="67">
        <v>20000</v>
      </c>
      <c r="G30" s="67">
        <v>15000</v>
      </c>
      <c r="H30" s="67">
        <v>10000</v>
      </c>
      <c r="I30" s="67">
        <v>5000</v>
      </c>
      <c r="J30" s="67">
        <v>15973.35</v>
      </c>
    </row>
    <row r="31" spans="1:10" x14ac:dyDescent="0.25">
      <c r="A31" t="s">
        <v>577</v>
      </c>
      <c r="B31" s="69">
        <f t="shared" si="0"/>
        <v>423500</v>
      </c>
      <c r="C31" s="26" t="str">
        <f t="shared" si="1"/>
        <v>400K - 500K</v>
      </c>
      <c r="D31" s="69">
        <v>423472.95</v>
      </c>
      <c r="E31" s="67">
        <v>313454.74</v>
      </c>
      <c r="F31" s="67">
        <v>25000</v>
      </c>
      <c r="G31" s="67">
        <v>20000</v>
      </c>
      <c r="H31" s="67">
        <v>10000</v>
      </c>
      <c r="I31" s="67">
        <v>8000</v>
      </c>
      <c r="J31" s="67">
        <v>47018.21</v>
      </c>
    </row>
    <row r="32" spans="1:10" x14ac:dyDescent="0.25">
      <c r="A32" t="s">
        <v>597</v>
      </c>
      <c r="B32" s="69">
        <f t="shared" si="0"/>
        <v>567800</v>
      </c>
      <c r="C32" s="26" t="str">
        <f t="shared" si="1"/>
        <v>500K - 600K</v>
      </c>
      <c r="D32" s="69">
        <v>567750.01</v>
      </c>
      <c r="E32" s="67">
        <v>451956.53</v>
      </c>
      <c r="F32" s="67">
        <v>0</v>
      </c>
      <c r="G32" s="67">
        <v>35000</v>
      </c>
      <c r="H32" s="67">
        <v>5000</v>
      </c>
      <c r="I32" s="67">
        <v>8000</v>
      </c>
      <c r="J32" s="67">
        <v>67793.48</v>
      </c>
    </row>
    <row r="33" spans="1:10" x14ac:dyDescent="0.25">
      <c r="A33" t="s">
        <v>613</v>
      </c>
      <c r="B33" s="69">
        <f t="shared" si="0"/>
        <v>358700</v>
      </c>
      <c r="C33" s="26" t="str">
        <f t="shared" si="1"/>
        <v>300K - 400K</v>
      </c>
      <c r="D33" s="69">
        <v>358696.04</v>
      </c>
      <c r="E33" s="67">
        <v>296257.43</v>
      </c>
      <c r="F33" s="67">
        <v>0</v>
      </c>
      <c r="G33" s="67">
        <v>10000</v>
      </c>
      <c r="H33" s="67">
        <v>5000</v>
      </c>
      <c r="I33" s="67">
        <v>3000</v>
      </c>
      <c r="J33" s="67">
        <v>44438.61</v>
      </c>
    </row>
    <row r="34" spans="1:10" x14ac:dyDescent="0.25">
      <c r="A34" t="s">
        <v>630</v>
      </c>
      <c r="B34" s="69">
        <f t="shared" si="0"/>
        <v>148900</v>
      </c>
      <c r="C34" s="26" t="str">
        <f t="shared" si="1"/>
        <v>100K - 200K</v>
      </c>
      <c r="D34" s="69">
        <v>148828.98000000001</v>
      </c>
      <c r="E34" s="67">
        <v>123329.55</v>
      </c>
      <c r="F34" s="67">
        <v>0</v>
      </c>
      <c r="G34" s="67">
        <v>5000</v>
      </c>
      <c r="H34" s="67">
        <v>0</v>
      </c>
      <c r="I34" s="67">
        <v>2000</v>
      </c>
      <c r="J34" s="67">
        <v>18499.43</v>
      </c>
    </row>
    <row r="35" spans="1:10" x14ac:dyDescent="0.25">
      <c r="A35" t="s">
        <v>646</v>
      </c>
      <c r="B35" s="69">
        <f t="shared" si="0"/>
        <v>71700</v>
      </c>
      <c r="C35" s="26" t="str">
        <f t="shared" si="1"/>
        <v>70K - 120K</v>
      </c>
      <c r="D35" s="69">
        <v>71662.61</v>
      </c>
      <c r="E35" s="67">
        <v>62315.31</v>
      </c>
      <c r="F35" s="67">
        <v>0</v>
      </c>
      <c r="G35" s="67">
        <v>0</v>
      </c>
      <c r="H35" s="67">
        <v>0</v>
      </c>
      <c r="I35" s="67">
        <v>0</v>
      </c>
      <c r="J35" s="67">
        <v>9347.2999999999993</v>
      </c>
    </row>
    <row r="36" spans="1:10" x14ac:dyDescent="0.25">
      <c r="A36" t="s">
        <v>664</v>
      </c>
      <c r="B36" s="69">
        <f t="shared" si="0"/>
        <v>223900</v>
      </c>
      <c r="C36" s="26" t="str">
        <f t="shared" si="1"/>
        <v>200K - 300K</v>
      </c>
      <c r="D36" s="69">
        <v>223877.67</v>
      </c>
      <c r="E36" s="67">
        <v>179024.06</v>
      </c>
      <c r="F36" s="67">
        <v>0</v>
      </c>
      <c r="G36" s="67">
        <v>10000</v>
      </c>
      <c r="H36" s="67">
        <v>5000</v>
      </c>
      <c r="I36" s="67">
        <v>3000</v>
      </c>
      <c r="J36" s="67">
        <v>26853.61</v>
      </c>
    </row>
    <row r="37" spans="1:10" x14ac:dyDescent="0.25">
      <c r="A37" t="s">
        <v>683</v>
      </c>
      <c r="B37" s="69">
        <f t="shared" si="0"/>
        <v>193300</v>
      </c>
      <c r="C37" s="26" t="str">
        <f t="shared" si="1"/>
        <v>100K - 200K</v>
      </c>
      <c r="D37" s="69">
        <v>193265.1</v>
      </c>
      <c r="E37" s="67">
        <v>152404.43</v>
      </c>
      <c r="F37" s="67">
        <v>0</v>
      </c>
      <c r="G37" s="67">
        <v>10000</v>
      </c>
      <c r="H37" s="67">
        <v>5000</v>
      </c>
      <c r="I37" s="67">
        <v>3000</v>
      </c>
      <c r="J37" s="67">
        <v>22860.67</v>
      </c>
    </row>
    <row r="38" spans="1:10" x14ac:dyDescent="0.25">
      <c r="A38" t="s">
        <v>703</v>
      </c>
      <c r="B38" s="69">
        <f t="shared" si="0"/>
        <v>25900</v>
      </c>
      <c r="C38" s="26" t="str">
        <f t="shared" si="1"/>
        <v>20K - 70K</v>
      </c>
      <c r="D38" s="69">
        <v>25886.959999999999</v>
      </c>
      <c r="E38" s="67">
        <v>11206.05</v>
      </c>
      <c r="F38" s="67">
        <v>5000</v>
      </c>
      <c r="G38" s="67">
        <v>0</v>
      </c>
      <c r="H38" s="67">
        <v>5000</v>
      </c>
      <c r="I38" s="67">
        <v>3000</v>
      </c>
      <c r="J38" s="67">
        <v>1680.91</v>
      </c>
    </row>
    <row r="39" spans="1:10" x14ac:dyDescent="0.25">
      <c r="A39" t="s">
        <v>723</v>
      </c>
      <c r="B39" s="69">
        <f t="shared" si="0"/>
        <v>888000</v>
      </c>
      <c r="C39" s="26" t="str">
        <f t="shared" si="1"/>
        <v>800K - 900K</v>
      </c>
      <c r="D39" s="69">
        <v>887951.48</v>
      </c>
      <c r="E39" s="67">
        <v>567783.9</v>
      </c>
      <c r="F39" s="67">
        <v>200000</v>
      </c>
      <c r="G39" s="67">
        <v>0</v>
      </c>
      <c r="H39" s="67">
        <v>15000</v>
      </c>
      <c r="I39" s="67">
        <v>20000</v>
      </c>
      <c r="J39" s="67">
        <v>85167.58</v>
      </c>
    </row>
    <row r="40" spans="1:10" x14ac:dyDescent="0.25">
      <c r="A40" t="s">
        <v>744</v>
      </c>
      <c r="B40" s="69">
        <f t="shared" si="0"/>
        <v>207000</v>
      </c>
      <c r="C40" s="26" t="str">
        <f t="shared" si="1"/>
        <v>200K - 300K</v>
      </c>
      <c r="D40" s="69">
        <v>206976.86</v>
      </c>
      <c r="E40" s="67">
        <v>132153.79</v>
      </c>
      <c r="F40" s="67">
        <v>10000</v>
      </c>
      <c r="G40" s="67">
        <v>30000</v>
      </c>
      <c r="H40" s="67">
        <v>10000</v>
      </c>
      <c r="I40" s="67">
        <v>5000</v>
      </c>
      <c r="J40" s="67">
        <v>19823.07</v>
      </c>
    </row>
    <row r="41" spans="1:10" x14ac:dyDescent="0.25">
      <c r="A41" t="s">
        <v>767</v>
      </c>
      <c r="B41" s="69">
        <f t="shared" si="0"/>
        <v>128900</v>
      </c>
      <c r="C41" s="26" t="str">
        <f t="shared" si="1"/>
        <v>100K - 200K</v>
      </c>
      <c r="D41" s="69">
        <v>128899.02</v>
      </c>
      <c r="E41" s="67">
        <v>105618.11</v>
      </c>
      <c r="F41" s="67">
        <v>5000</v>
      </c>
      <c r="G41" s="67">
        <v>0</v>
      </c>
      <c r="H41" s="67">
        <v>5000</v>
      </c>
      <c r="I41" s="67">
        <v>8000</v>
      </c>
      <c r="J41" s="67">
        <v>5280.91</v>
      </c>
    </row>
    <row r="42" spans="1:10" x14ac:dyDescent="0.25">
      <c r="A42" t="s">
        <v>787</v>
      </c>
      <c r="B42" s="69">
        <f t="shared" si="0"/>
        <v>92400</v>
      </c>
      <c r="C42" s="26" t="str">
        <f t="shared" si="1"/>
        <v>90K - 140K</v>
      </c>
      <c r="D42" s="69">
        <v>92394.22</v>
      </c>
      <c r="E42" s="67">
        <v>81327.83</v>
      </c>
      <c r="F42" s="67">
        <v>0</v>
      </c>
      <c r="G42" s="67">
        <v>5000</v>
      </c>
      <c r="H42" s="67">
        <v>0</v>
      </c>
      <c r="I42" s="67">
        <v>2000</v>
      </c>
      <c r="J42" s="67">
        <v>4066.39</v>
      </c>
    </row>
    <row r="43" spans="1:10" x14ac:dyDescent="0.25">
      <c r="A43" t="s">
        <v>807</v>
      </c>
      <c r="B43" s="69">
        <f t="shared" si="0"/>
        <v>133500</v>
      </c>
      <c r="C43" s="26" t="str">
        <f t="shared" si="1"/>
        <v>100K - 200K</v>
      </c>
      <c r="D43" s="69">
        <v>133444.26999999999</v>
      </c>
      <c r="E43" s="67">
        <v>109951.54</v>
      </c>
      <c r="F43" s="67">
        <v>0</v>
      </c>
      <c r="G43" s="67">
        <v>5000</v>
      </c>
      <c r="H43" s="67">
        <v>0</v>
      </c>
      <c r="I43" s="67">
        <v>2000</v>
      </c>
      <c r="J43" s="67">
        <v>16492.73</v>
      </c>
    </row>
    <row r="44" spans="1:10" x14ac:dyDescent="0.25">
      <c r="A44" t="s">
        <v>828</v>
      </c>
      <c r="B44" s="69">
        <f t="shared" si="0"/>
        <v>659000</v>
      </c>
      <c r="C44" s="26" t="str">
        <f t="shared" si="1"/>
        <v>600K - 700K</v>
      </c>
      <c r="D44" s="69">
        <v>658963.39</v>
      </c>
      <c r="E44" s="67">
        <v>546924.68999999994</v>
      </c>
      <c r="F44" s="67">
        <v>0</v>
      </c>
      <c r="G44" s="67">
        <v>20000</v>
      </c>
      <c r="H44" s="67">
        <v>5000</v>
      </c>
      <c r="I44" s="67">
        <v>5000</v>
      </c>
      <c r="J44" s="67">
        <v>82038.7</v>
      </c>
    </row>
    <row r="45" spans="1:10" x14ac:dyDescent="0.25">
      <c r="A45" t="s">
        <v>852</v>
      </c>
      <c r="B45" s="69">
        <f t="shared" si="0"/>
        <v>8000</v>
      </c>
      <c r="C45" s="26" t="str">
        <f t="shared" si="1"/>
        <v>&lt;10K</v>
      </c>
      <c r="D45" s="69">
        <v>8000</v>
      </c>
      <c r="E45" s="67">
        <v>0</v>
      </c>
      <c r="F45" s="67">
        <v>0</v>
      </c>
      <c r="G45" s="67">
        <v>0</v>
      </c>
      <c r="H45" s="67">
        <v>5000</v>
      </c>
      <c r="I45" s="67">
        <v>3000</v>
      </c>
      <c r="J45" s="67">
        <v>0</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94ACBA53BC41A42A7796DA3AF821132" ma:contentTypeVersion="13" ma:contentTypeDescription="Create a new document." ma:contentTypeScope="" ma:versionID="212ce7cd9a524ff51c0431910ae17191">
  <xsd:schema xmlns:xsd="http://www.w3.org/2001/XMLSchema" xmlns:xs="http://www.w3.org/2001/XMLSchema" xmlns:p="http://schemas.microsoft.com/office/2006/metadata/properties" xmlns:ns2="935b53fa-0596-4ec4-a072-1a4d12d336c2" xmlns:ns3="07cbe0c0-9e91-476a-9520-fc8643f5e9cc" targetNamespace="http://schemas.microsoft.com/office/2006/metadata/properties" ma:root="true" ma:fieldsID="4150895a959fb78c091b7860818d044b" ns2:_="" ns3:_="">
    <xsd:import namespace="935b53fa-0596-4ec4-a072-1a4d12d336c2"/>
    <xsd:import namespace="07cbe0c0-9e91-476a-9520-fc8643f5e9c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5b53fa-0596-4ec4-a072-1a4d12d336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47bde53e-b0a2-4e98-8550-8a152603f3a2"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7cbe0c0-9e91-476a-9520-fc8643f5e9c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4cfc417-b3f1-414d-8a83-13267414c009}" ma:internalName="TaxCatchAll" ma:showField="CatchAllData" ma:web="07cbe0c0-9e91-476a-9520-fc8643f5e9c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07cbe0c0-9e91-476a-9520-fc8643f5e9cc" xsi:nil="true"/>
    <lcf76f155ced4ddcb4097134ff3c332f xmlns="935b53fa-0596-4ec4-a072-1a4d12d336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BF366EB-3234-49A3-8A44-02C8130EF2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5b53fa-0596-4ec4-a072-1a4d12d336c2"/>
    <ds:schemaRef ds:uri="07cbe0c0-9e91-476a-9520-fc8643f5e9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3671E27-BCB5-4521-8ABF-FEAE83BE3880}">
  <ds:schemaRefs>
    <ds:schemaRef ds:uri="http://schemas.microsoft.com/sharepoint/v3/contenttype/forms"/>
  </ds:schemaRefs>
</ds:datastoreItem>
</file>

<file path=customXml/itemProps3.xml><?xml version="1.0" encoding="utf-8"?>
<ds:datastoreItem xmlns:ds="http://schemas.openxmlformats.org/officeDocument/2006/customXml" ds:itemID="{D881B871-D614-4AAC-951C-A222F15EF2CC}">
  <ds:schemaRefs>
    <ds:schemaRef ds:uri="http://schemas.microsoft.com/office/2006/metadata/properties"/>
    <ds:schemaRef ds:uri="http://schemas.microsoft.com/office/infopath/2007/PartnerControls"/>
    <ds:schemaRef ds:uri="07cbe0c0-9e91-476a-9520-fc8643f5e9cc"/>
    <ds:schemaRef ds:uri="935b53fa-0596-4ec4-a072-1a4d12d336c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Iniciativas (2)</vt:lpstr>
      <vt:lpstr>Sheet1</vt:lpstr>
      <vt:lpstr>Por actividad (2)</vt:lpstr>
      <vt:lpstr>Resumen Tipo x INI (2)</vt:lpstr>
      <vt:lpstr>Eliminadas (Trazabilidad)</vt:lpstr>
      <vt:lpstr>Mapeo Etapas TO-BE</vt:lpstr>
      <vt:lpstr>Criticidad</vt:lpstr>
      <vt:lpstr>Sheet2</vt:lpstr>
      <vt:lpstr>Orden de Magnitud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José Mardones (CL)</dc:creator>
  <cp:keywords/>
  <dc:description/>
  <cp:lastModifiedBy>Renato Berenguela (CL)</cp:lastModifiedBy>
  <cp:revision/>
  <dcterms:created xsi:type="dcterms:W3CDTF">2026-04-13T14:12:13Z</dcterms:created>
  <dcterms:modified xsi:type="dcterms:W3CDTF">2026-04-22T16:15:15Z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0x010100F94ACBA53BC41A42A7796DA3AF821132</vt:lpwstr>
  </property>
  <property fmtid="{D5CDD505-2E9C-101B-9397-08002B2CF9AE}" pid="3" name="MediaServiceImageTags">
    <vt:lpwstr/>
  </property>
</Properties>
</file>