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aformas Credito" sheetId="1" r:id="rId5"/>
    <sheet state="visible" name="Sistemas Credito" sheetId="2" r:id="rId6"/>
    <sheet state="visible" name="TIME TOBE Tecnológico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K1">
      <text>
        <t xml:space="preserve">Forma de Calculo de Calidad Técnica (Escala 1-5):
G : Obsolescencia (Peso 20%)
H : Mantenibilidad (Peso 20%)
I   : Rendimiento (Peso 15%)
J  : Seguridad (Peso 30%) - Mayor peso por riesgo.
K  : Integración (Peso 15%)
L  : SCORE TÉCNICO (Calculado) 
Fórmula L = (G2*0.20) + (H2*0.20) + (I2*0.15) + (J2*0.30) + (K2*0.15)</t>
      </text>
    </comment>
    <comment authorId="0" ref="AM1">
      <text>
        <t xml:space="preserve">Columnas de Evaluación NEGOCIO (Escala 1-5):
M: Alineación Estratégica (Peso 30%)
N: Criticidad Operativa (Peso 30%)
O: Eficiencia Económica (Peso 20%)
P: Satisfacción Usuario (Peso 20%)
Q: SCORE NEGOCIO (Calculado) -&gt; Fórmula 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2">
      <text>
        <t xml:space="preserve">Forma de Calculo de Calidad Técnica (Escala 1-5):
G : Obsolescencia (Peso 20%)
H : Mantenibilidad (Peso 20%)
I   : Rendimiento (Peso 15%)
J  : Seguridad (Peso 30%) - Mayor peso por riesgo.
K  : Integración (Peso 15%)
L  : SCORE TÉCNICO (Calculado) 
Fórmula L = (G2*0.20) + (H2*0.20) + (I2*0.15) + (J2*0.30) + (K2*0.15)</t>
      </text>
    </comment>
  </commentList>
</comments>
</file>

<file path=xl/sharedStrings.xml><?xml version="1.0" encoding="utf-8"?>
<sst xmlns="http://schemas.openxmlformats.org/spreadsheetml/2006/main" count="2878" uniqueCount="482">
  <si>
    <t>ID</t>
  </si>
  <si>
    <t>DC</t>
  </si>
  <si>
    <t>Proveedor</t>
  </si>
  <si>
    <t>Hostname</t>
  </si>
  <si>
    <t>Nombre DNS</t>
  </si>
  <si>
    <t>Dirección IP</t>
  </si>
  <si>
    <t>Ambiente</t>
  </si>
  <si>
    <t>Software MDW</t>
  </si>
  <si>
    <t>Aplicación</t>
  </si>
  <si>
    <t>Servicio de Negocio</t>
  </si>
  <si>
    <t>Estado</t>
  </si>
  <si>
    <t>Categoría</t>
  </si>
  <si>
    <t>Tipo</t>
  </si>
  <si>
    <t>Número de Serie</t>
  </si>
  <si>
    <t>Categoría S.O</t>
  </si>
  <si>
    <t>Familia S.O</t>
  </si>
  <si>
    <t>Sistema operativo</t>
  </si>
  <si>
    <t>EOL (API)</t>
  </si>
  <si>
    <t>Update Disponible</t>
  </si>
  <si>
    <t>Obsolescencia SO</t>
  </si>
  <si>
    <t>Obsolescencia SW MDW y/o APP</t>
  </si>
  <si>
    <t>Obsolescencia HW</t>
  </si>
  <si>
    <t>Obsolescencia BBDD</t>
  </si>
  <si>
    <t>Grado de Obsolescencia Global</t>
  </si>
  <si>
    <t>Proyecto Obsolescencia</t>
  </si>
  <si>
    <t>Fecha Compromiso</t>
  </si>
  <si>
    <t>G. Responsable Plan</t>
  </si>
  <si>
    <t>Líder</t>
  </si>
  <si>
    <t>Expuesto</t>
  </si>
  <si>
    <t>Antivirus</t>
  </si>
  <si>
    <t>DSVO</t>
  </si>
  <si>
    <t>Central Desktop</t>
  </si>
  <si>
    <t>Sysmon</t>
  </si>
  <si>
    <t>Usuario Negocio</t>
  </si>
  <si>
    <t>Líder Gerencia</t>
  </si>
  <si>
    <t>Indicador Proyecto</t>
  </si>
  <si>
    <t>Cr</t>
  </si>
  <si>
    <t>BIA</t>
  </si>
  <si>
    <t>GCVE</t>
  </si>
  <si>
    <t>ADFS-TAKAHE-PRO</t>
  </si>
  <si>
    <t>takahe</t>
  </si>
  <si>
    <t>10.23.4.228</t>
  </si>
  <si>
    <t>Producción</t>
  </si>
  <si>
    <t>Sin Software MDW</t>
  </si>
  <si>
    <t>ADFS</t>
  </si>
  <si>
    <t>Encendido</t>
  </si>
  <si>
    <t>Virtual</t>
  </si>
  <si>
    <t>Máquina Virtual VmWare</t>
  </si>
  <si>
    <t>No aplica</t>
  </si>
  <si>
    <t>Microsoft Windows</t>
  </si>
  <si>
    <t>Microsoft Windows Server 2012</t>
  </si>
  <si>
    <t>Microsoft Windows Server 2012 (64-bit)</t>
  </si>
  <si>
    <t>Si</t>
  </si>
  <si>
    <t>No</t>
  </si>
  <si>
    <t>No Aplica</t>
  </si>
  <si>
    <t>Migración FICO</t>
  </si>
  <si>
    <t>Sistemas  Financieros</t>
  </si>
  <si>
    <t>Claudia León</t>
  </si>
  <si>
    <t>Patricio Alegría</t>
  </si>
  <si>
    <t>x</t>
  </si>
  <si>
    <t>RIESGO-BACHELOR-PRO</t>
  </si>
  <si>
    <t>BACHELOR</t>
  </si>
  <si>
    <t>10.23.2.119</t>
  </si>
  <si>
    <t>Análisis Datos Riesgo</t>
  </si>
  <si>
    <t>Microsoft Windows Server 2008</t>
  </si>
  <si>
    <t>Microsoft Windows Server 2008 R2 (64-bit)</t>
  </si>
  <si>
    <t>Sin Proyecto</t>
  </si>
  <si>
    <t>Sin Fecha</t>
  </si>
  <si>
    <t>Riesgos</t>
  </si>
  <si>
    <t>Sin Asignación</t>
  </si>
  <si>
    <t>Cristian Rosales</t>
  </si>
  <si>
    <t>RIESGO-COPIAPO-PRO</t>
  </si>
  <si>
    <t>COPIAPO</t>
  </si>
  <si>
    <t>10.23.2.158</t>
  </si>
  <si>
    <t>Santiago Galleguillos</t>
  </si>
  <si>
    <t>CREDIGI-COCHONS-DEV</t>
  </si>
  <si>
    <t>cochons</t>
  </si>
  <si>
    <t>10.23.2.213</t>
  </si>
  <si>
    <t>Desarrollo</t>
  </si>
  <si>
    <t>Crédito Digital</t>
  </si>
  <si>
    <t>Linux</t>
  </si>
  <si>
    <t>Centos 4/5/6/7</t>
  </si>
  <si>
    <t>CentOS 7 (64-bit)</t>
  </si>
  <si>
    <t>CREDIGI-SANPAUL-DEV</t>
  </si>
  <si>
    <t>sanpaul</t>
  </si>
  <si>
    <t>10.23.2.212</t>
  </si>
  <si>
    <t>Alonso Ovalle</t>
  </si>
  <si>
    <t>DESA-WEBLOGIC-BORALE</t>
  </si>
  <si>
    <t>borale</t>
  </si>
  <si>
    <t>10.23.4.98</t>
  </si>
  <si>
    <t>Weblogic Transversal</t>
  </si>
  <si>
    <t>Servicios Transversales MDW</t>
  </si>
  <si>
    <t>Red Hat Enterprise Linux 6</t>
  </si>
  <si>
    <t>Red Hat Enterprise Linux 6 (64-bit)</t>
  </si>
  <si>
    <t>Sistemas de Negocio</t>
  </si>
  <si>
    <t>M2CAPPRD2</t>
  </si>
  <si>
    <t>m2capprd2</t>
  </si>
  <si>
    <t>10.23.3.32</t>
  </si>
  <si>
    <t>Menú Andes (Pivote)</t>
  </si>
  <si>
    <t>Menú Andes</t>
  </si>
  <si>
    <t>Oracle Linux 7</t>
  </si>
  <si>
    <t>Oracle Linux 7 (64-bit)</t>
  </si>
  <si>
    <t>Legales y Complementarios</t>
  </si>
  <si>
    <t>Cristian Vera</t>
  </si>
  <si>
    <t>QA-WEBLOGIC-KURUB-RES</t>
  </si>
  <si>
    <t>kurub</t>
  </si>
  <si>
    <t>10.23.4.99</t>
  </si>
  <si>
    <t>QA</t>
  </si>
  <si>
    <t>WEB-GORELY-DEV</t>
  </si>
  <si>
    <t>GORELY</t>
  </si>
  <si>
    <t>10.23.1.214</t>
  </si>
  <si>
    <t>Sucursal Virtual</t>
  </si>
  <si>
    <t>Portal Web Publico y SVP (1.0 | 1.5)</t>
  </si>
  <si>
    <t>Migración Portal Web Publico y SVP (1.0 | 1.5)</t>
  </si>
  <si>
    <t>Sí</t>
  </si>
  <si>
    <t>WEB-KONE-QA</t>
  </si>
  <si>
    <t>KONE</t>
  </si>
  <si>
    <t>10.23.1.240</t>
  </si>
  <si>
    <t>WEB1.5-SANJOSE-DESA</t>
  </si>
  <si>
    <t>sanjose</t>
  </si>
  <si>
    <t>10.23.1.43</t>
  </si>
  <si>
    <t>Microsoft Windows Server 2003</t>
  </si>
  <si>
    <t>Microsoft Windows Server 2003 (32-bit)</t>
  </si>
  <si>
    <t>Sonda Cloud Privado</t>
  </si>
  <si>
    <t>Sonda</t>
  </si>
  <si>
    <t>BBDD-PUNTIAGUDO-PRO</t>
  </si>
  <si>
    <t>puntiagudo</t>
  </si>
  <si>
    <t>10.23.4.91</t>
  </si>
  <si>
    <t>BD ADFS (Consumido por FICO)</t>
  </si>
  <si>
    <t>Motor de decisión FICO</t>
  </si>
  <si>
    <t>dmpsprd1gtw</t>
  </si>
  <si>
    <t>172.29.191.66</t>
  </si>
  <si>
    <t>DMPS 4 (FICO)</t>
  </si>
  <si>
    <t>Red Hat Enterprise Linux 7</t>
  </si>
  <si>
    <t>Red Hat Enterprise Linux 7 (64-bit)</t>
  </si>
  <si>
    <t>dmpsprd2dpc</t>
  </si>
  <si>
    <t>172.29.191.67</t>
  </si>
  <si>
    <t>dmpsprd3vsc</t>
  </si>
  <si>
    <t>172.29.191.68</t>
  </si>
  <si>
    <t>dmpsprd4dpm</t>
  </si>
  <si>
    <t>172.29.191.69</t>
  </si>
  <si>
    <t>dmpsprd5dcp</t>
  </si>
  <si>
    <t>172.29.191.70</t>
  </si>
  <si>
    <t>dmpsprd6dcm</t>
  </si>
  <si>
    <t>172.29.191.71</t>
  </si>
  <si>
    <t>dmpsprd7dmc</t>
  </si>
  <si>
    <t>172.29.191.72</t>
  </si>
  <si>
    <t>dmpsprd8smc</t>
  </si>
  <si>
    <t>172.29.191.73</t>
  </si>
  <si>
    <t>dmpsprd9cdb</t>
  </si>
  <si>
    <t>172.29.191.74</t>
  </si>
  <si>
    <t>PRO-WEBLOGIC-GROPPO</t>
  </si>
  <si>
    <t>groppo</t>
  </si>
  <si>
    <t>10.23.4.117</t>
  </si>
  <si>
    <t>PRO-WEBLOGIC-KASBEK</t>
  </si>
  <si>
    <t>kasbek</t>
  </si>
  <si>
    <t>10.23.4.116</t>
  </si>
  <si>
    <t>COBAPPPRD1</t>
  </si>
  <si>
    <t>cobappprd1</t>
  </si>
  <si>
    <t>172.29.217.5</t>
  </si>
  <si>
    <t>WebLogic Server Version: 12.2.1.3.0</t>
  </si>
  <si>
    <t>Red Hat Enterprise Linux 6 (32-bit)</t>
  </si>
  <si>
    <t>COBAPPPRD2</t>
  </si>
  <si>
    <t>cobappprd2</t>
  </si>
  <si>
    <t>172.29.217.6</t>
  </si>
  <si>
    <t>COBAPPPRD3</t>
  </si>
  <si>
    <t>cobappprd3</t>
  </si>
  <si>
    <t>172.29.217.7</t>
  </si>
  <si>
    <t>Sonda Cloud Público</t>
  </si>
  <si>
    <t>MDEAPPDEV1</t>
  </si>
  <si>
    <t>mdeappdev1</t>
  </si>
  <si>
    <t>172.29.191.34</t>
  </si>
  <si>
    <t>MDEBLZDEV1</t>
  </si>
  <si>
    <t>mdeblzdev1</t>
  </si>
  <si>
    <t>172.29.191.46</t>
  </si>
  <si>
    <t>BLAZE</t>
  </si>
  <si>
    <t>MDEDMPQA3</t>
  </si>
  <si>
    <t>mdepupqa3</t>
  </si>
  <si>
    <t>172.29.191.37</t>
  </si>
  <si>
    <t>MDEDMPQA4</t>
  </si>
  <si>
    <t>mdepupqa4</t>
  </si>
  <si>
    <t>172.29.191.38</t>
  </si>
  <si>
    <t>MDEDMPQA5</t>
  </si>
  <si>
    <t>mdepupqa5</t>
  </si>
  <si>
    <t>172.29.191.39</t>
  </si>
  <si>
    <t>MDEDMPQA6</t>
  </si>
  <si>
    <t>mdepupqa6</t>
  </si>
  <si>
    <t>172.29.191.40</t>
  </si>
  <si>
    <t>MDEPUPQA1</t>
  </si>
  <si>
    <t>mdepupqa1</t>
  </si>
  <si>
    <t>172.29.191.35</t>
  </si>
  <si>
    <t>MDEPUPQA2</t>
  </si>
  <si>
    <t>mdepupqa2</t>
  </si>
  <si>
    <t>172.29.191.36</t>
  </si>
  <si>
    <t>COBAPPDES1</t>
  </si>
  <si>
    <t>cobappdes1</t>
  </si>
  <si>
    <t>172.29.217.73</t>
  </si>
  <si>
    <t>COBAPPQA1</t>
  </si>
  <si>
    <t>cobappqa1</t>
  </si>
  <si>
    <t>172.29.217.70</t>
  </si>
  <si>
    <t>COBAPPQA2</t>
  </si>
  <si>
    <t>cobappqa2</t>
  </si>
  <si>
    <t>172.29.217.71</t>
  </si>
  <si>
    <t>COBAPPQA3</t>
  </si>
  <si>
    <t>cobappqa3</t>
  </si>
  <si>
    <t>172.29.217.72</t>
  </si>
  <si>
    <t>sa-santiago-1</t>
  </si>
  <si>
    <t>Oracle</t>
  </si>
  <si>
    <t>laccprdm01apigw</t>
  </si>
  <si>
    <t>10.110.70.111</t>
  </si>
  <si>
    <t>APIGW</t>
  </si>
  <si>
    <t>Legados</t>
  </si>
  <si>
    <t>Máquina Virtual Oracle</t>
  </si>
  <si>
    <t>Oracle Linux 6</t>
  </si>
  <si>
    <t>Oracle Linux 6.10</t>
  </si>
  <si>
    <t>laccprdm02apigw</t>
  </si>
  <si>
    <t>10.110.71.64</t>
  </si>
  <si>
    <t>laccprdm03apigw</t>
  </si>
  <si>
    <t>10.110.71.94</t>
  </si>
  <si>
    <t>laccprdm01adm</t>
  </si>
  <si>
    <t>10.110.34.22</t>
  </si>
  <si>
    <t>Flexcube 11</t>
  </si>
  <si>
    <t>Pilar Financiero</t>
  </si>
  <si>
    <t>New Core</t>
  </si>
  <si>
    <t>us-ashburn-1</t>
  </si>
  <si>
    <t>laccprdm01adm-dr</t>
  </si>
  <si>
    <t>10.112.34.22</t>
  </si>
  <si>
    <t>DR</t>
  </si>
  <si>
    <t>laccprdm01ofx</t>
  </si>
  <si>
    <t>10.110.34.10</t>
  </si>
  <si>
    <t>LACCPRDM01OFX</t>
  </si>
  <si>
    <t>10.112.34.10</t>
  </si>
  <si>
    <t>laccprdm02ofx</t>
  </si>
  <si>
    <t>10.110.34.11</t>
  </si>
  <si>
    <t>LACCPRDM02OFX-dr</t>
  </si>
  <si>
    <t>10.112.34.11</t>
  </si>
  <si>
    <t>laccprdm03ofx</t>
  </si>
  <si>
    <t>10.110.34.18</t>
  </si>
  <si>
    <t>LACCPRDM03OFX-DR</t>
  </si>
  <si>
    <t>10.112.34.18</t>
  </si>
  <si>
    <t>laccprdm04ofx</t>
  </si>
  <si>
    <t>10.110.34.19</t>
  </si>
  <si>
    <t>LACCPRDM04OFX-dr</t>
  </si>
  <si>
    <t>10.112.34.19</t>
  </si>
  <si>
    <t>laccm01pr2-lb-1</t>
  </si>
  <si>
    <t>10.110.67.200</t>
  </si>
  <si>
    <t>OTD</t>
  </si>
  <si>
    <t>Oracle Service Bus 12.2.1.4</t>
  </si>
  <si>
    <t>LACCPRDM05OFX-dr</t>
  </si>
  <si>
    <t>10.112.34.17</t>
  </si>
  <si>
    <t>GCP</t>
  </si>
  <si>
    <t>Google</t>
  </si>
  <si>
    <t>instance-1-conecta</t>
  </si>
  <si>
    <t>172.31.2.26</t>
  </si>
  <si>
    <t>Sin Información</t>
  </si>
  <si>
    <t>Nicanor</t>
  </si>
  <si>
    <t>Máquina Virtual Google</t>
  </si>
  <si>
    <t>centos 7</t>
  </si>
  <si>
    <t>Data</t>
  </si>
  <si>
    <t>Nicolas García</t>
  </si>
  <si>
    <t>vm-gateway-sql</t>
  </si>
  <si>
    <t>172.31.2.2</t>
  </si>
  <si>
    <t>ccr-credito-digital-prd</t>
  </si>
  <si>
    <t>172.31.1.21</t>
  </si>
  <si>
    <t>credito-digital-prd</t>
  </si>
  <si>
    <t>172.31.0.3</t>
  </si>
  <si>
    <t>credito-digital-qa</t>
  </si>
  <si>
    <t>172.18.70.33</t>
  </si>
  <si>
    <t>creditos-prd</t>
  </si>
  <si>
    <t>linea</t>
  </si>
  <si>
    <t>Integrado con DevSecOps</t>
  </si>
  <si>
    <t>Automatizable</t>
  </si>
  <si>
    <t>Sistema / Plataforma / Herramienta</t>
  </si>
  <si>
    <t>Obsoleto?</t>
  </si>
  <si>
    <t>Contador</t>
  </si>
  <si>
    <t>Modulos</t>
  </si>
  <si>
    <t>Fábrica</t>
  </si>
  <si>
    <t>Será Decomisado?</t>
  </si>
  <si>
    <t xml:space="preserve"> Decomisado en</t>
  </si>
  <si>
    <t>Año Decomiso</t>
  </si>
  <si>
    <t>Decomisado Q</t>
  </si>
  <si>
    <t>Detalle Estado</t>
  </si>
  <si>
    <t>Detalle nuevo sistema</t>
  </si>
  <si>
    <t>¿Tiene Componente Oracle?</t>
  </si>
  <si>
    <t xml:space="preserve">llave </t>
  </si>
  <si>
    <t xml:space="preserve">Contador Modulos </t>
  </si>
  <si>
    <t>Responsable TI</t>
  </si>
  <si>
    <t>Responsable Negocio</t>
  </si>
  <si>
    <t>JIRA</t>
  </si>
  <si>
    <t>Comentario</t>
  </si>
  <si>
    <t>Descripción</t>
  </si>
  <si>
    <t>Plataforma</t>
  </si>
  <si>
    <t>Servicio de negocio</t>
  </si>
  <si>
    <t>Lenguaje programación</t>
  </si>
  <si>
    <t>Función</t>
  </si>
  <si>
    <t>Dominio Funcional (Capa/Contexto)</t>
  </si>
  <si>
    <t>Package/Custom</t>
  </si>
  <si>
    <t>Distribución</t>
  </si>
  <si>
    <t>Tipo Origen</t>
  </si>
  <si>
    <t>Responsable Mantenimiento</t>
  </si>
  <si>
    <t>Ubicación</t>
  </si>
  <si>
    <t>Tecnología Comunicación (MQ, socket, WS)</t>
  </si>
  <si>
    <t>Calidad Técnica / Ajuste Técnico
(Valor 1 a 5)</t>
  </si>
  <si>
    <t>TIME</t>
  </si>
  <si>
    <t>Valor de Negocio 
(Valor de 1 a 5)</t>
  </si>
  <si>
    <t>TCO (UF)</t>
  </si>
  <si>
    <t>Observación Arquitectura</t>
  </si>
  <si>
    <t>Dominio Level 0</t>
  </si>
  <si>
    <t>Dominio Level 1</t>
  </si>
  <si>
    <t>Dominio Level 2</t>
  </si>
  <si>
    <t>Parcialmente</t>
  </si>
  <si>
    <t>Base Preaprobados</t>
  </si>
  <si>
    <t>Financieros</t>
  </si>
  <si>
    <t>S</t>
  </si>
  <si>
    <t>2026 Q3</t>
  </si>
  <si>
    <t>Q3</t>
  </si>
  <si>
    <t>En Proceso</t>
  </si>
  <si>
    <t>Se mantiene</t>
  </si>
  <si>
    <t>Patricio Alegria</t>
  </si>
  <si>
    <t>Dorian Patricio Alegria.   Mayo se revisará como continua.</t>
  </si>
  <si>
    <t xml:space="preserve">Web Service aparece pop up , base de datos  con riesgo y genera pre aprobaciones, Web Logic, se ejecuta una vez al mes, la oferta la deja en Siebel (canal) </t>
  </si>
  <si>
    <t>T</t>
  </si>
  <si>
    <t>Productos</t>
  </si>
  <si>
    <t>Marketing</t>
  </si>
  <si>
    <t>Campañas</t>
  </si>
  <si>
    <t>Cartola Crédito</t>
  </si>
  <si>
    <t>N</t>
  </si>
  <si>
    <t>Sin Decomiso</t>
  </si>
  <si>
    <t>No será decomisado</t>
  </si>
  <si>
    <t>Isabelle Bellet</t>
  </si>
  <si>
    <t xml:space="preserve">Sistema Automatizado de Generación masiva de Cartolas Credito y envió a Salesforce para notificación a los afiliados por vía email. Dictamen SUSESO </t>
  </si>
  <si>
    <r>
      <rPr>
        <rFont val="Calibri"/>
        <b/>
        <color theme="1"/>
        <sz val="11.0"/>
      </rPr>
      <t>Backend:</t>
    </r>
    <r>
      <rPr>
        <rFont val="Calibri"/>
        <color theme="1"/>
        <sz val="11.0"/>
      </rPr>
      <t xml:space="preserve">Proyecto GCP Api Multi-Tenant
</t>
    </r>
    <r>
      <rPr>
        <rFont val="Calibri"/>
        <b/>
        <color theme="1"/>
        <sz val="11.0"/>
      </rPr>
      <t xml:space="preserve">Namespace: </t>
    </r>
    <r>
      <rPr>
        <rFont val="Calibri"/>
        <color theme="1"/>
        <sz val="11.0"/>
      </rPr>
      <t xml:space="preserve">ms-credito
</t>
    </r>
    <r>
      <rPr>
        <rFont val="Calibri"/>
        <b/>
        <color theme="1"/>
        <sz val="11.0"/>
      </rPr>
      <t>Nodo:</t>
    </r>
    <r>
      <rPr>
        <rFont val="Calibri"/>
        <color theme="1"/>
        <sz val="11.0"/>
      </rPr>
      <t xml:space="preserve"> creditos-pool</t>
    </r>
  </si>
  <si>
    <t>Multi-Tenant</t>
  </si>
  <si>
    <t>NJS</t>
  </si>
  <si>
    <t>ms-creditos</t>
  </si>
  <si>
    <t>Custom</t>
  </si>
  <si>
    <t>Cloud GKE</t>
  </si>
  <si>
    <t>Interno</t>
  </si>
  <si>
    <t>CLA</t>
  </si>
  <si>
    <t>Backend</t>
  </si>
  <si>
    <t>Productos Financieros</t>
  </si>
  <si>
    <t>Crédito</t>
  </si>
  <si>
    <t>Crédito de Emergencia</t>
  </si>
  <si>
    <t>Credito Social Digital CLA Digital</t>
  </si>
  <si>
    <t>Credito Canales Remotos</t>
  </si>
  <si>
    <t>2025 Q3</t>
  </si>
  <si>
    <t>Con Plan de Decomiso</t>
  </si>
  <si>
    <t>Será reemplazado por un existente</t>
  </si>
  <si>
    <t>Flex</t>
  </si>
  <si>
    <t>Argenis Rojas</t>
  </si>
  <si>
    <t>Obtención de un credito de forma antigua</t>
  </si>
  <si>
    <t>Desconocido</t>
  </si>
  <si>
    <t>Crédito digital</t>
  </si>
  <si>
    <t>creditodigital</t>
  </si>
  <si>
    <t>GPC Cloud Storages</t>
  </si>
  <si>
    <t>M</t>
  </si>
  <si>
    <t xml:space="preserve">Credito Digital  Mambu </t>
  </si>
  <si>
    <t>2025 Q4</t>
  </si>
  <si>
    <t>Q4</t>
  </si>
  <si>
    <t>Iniciativa de la Filial CLA Digital, obtención de crédito mediante virtualización canal Tapp</t>
  </si>
  <si>
    <r>
      <rPr>
        <rFont val="Calibri"/>
        <b/>
        <color theme="1"/>
        <sz val="11.0"/>
      </rPr>
      <t>Backend:</t>
    </r>
    <r>
      <rPr>
        <rFont val="Calibri"/>
        <color theme="1"/>
        <sz val="11.0"/>
      </rPr>
      <t xml:space="preserve">Proyecto GCP Api credito-social-cladigital
</t>
    </r>
    <r>
      <rPr>
        <rFont val="Calibri"/>
        <b/>
        <color theme="1"/>
        <sz val="11.0"/>
      </rPr>
      <t>Namespace:</t>
    </r>
    <r>
      <rPr>
        <rFont val="Calibri"/>
        <color theme="1"/>
        <sz val="11.0"/>
      </rPr>
      <t xml:space="preserve"> ms-credito-social-cladigital
</t>
    </r>
    <r>
      <rPr>
        <rFont val="Calibri"/>
        <b/>
        <color theme="1"/>
        <sz val="11.0"/>
      </rPr>
      <t xml:space="preserve">Nodo: </t>
    </r>
    <r>
      <rPr>
        <rFont val="Calibri"/>
        <color theme="1"/>
        <sz val="11.0"/>
      </rPr>
      <t>node-credito-social-pool</t>
    </r>
  </si>
  <si>
    <t>CLA Digital</t>
  </si>
  <si>
    <t>Java</t>
  </si>
  <si>
    <t>msdocumentos</t>
  </si>
  <si>
    <t>credito social</t>
  </si>
  <si>
    <r>
      <rPr>
        <rFont val="Arial"/>
        <color rgb="FF000000"/>
      </rPr>
      <t>Histórico WCC PF</t>
    </r>
  </si>
  <si>
    <t>En Analisis</t>
  </si>
  <si>
    <t>Dorian Patricio Alegria Patricio Cortez.  Definición debería estar en Q3 2025. Junto con migración PF.</t>
  </si>
  <si>
    <t>Aplicación para la instalación y gestión de documentos históricos.</t>
  </si>
  <si>
    <t>On Premise</t>
  </si>
  <si>
    <t>Se debe decomisionar y migrar a wcc</t>
  </si>
  <si>
    <t>Operaciones</t>
  </si>
  <si>
    <t>Custodia y Documentos</t>
  </si>
  <si>
    <t>Gestor Documental</t>
  </si>
  <si>
    <t>IFRS9</t>
  </si>
  <si>
    <t>IFRS</t>
  </si>
  <si>
    <t xml:space="preserve">Servicios de Operación </t>
  </si>
  <si>
    <t>Reportes Normativos</t>
  </si>
  <si>
    <t>Línea de Crédito</t>
  </si>
  <si>
    <t>Será reemplazado por uno nuevo</t>
  </si>
  <si>
    <t>Motor de Decisión FICO</t>
  </si>
  <si>
    <t>Migración Fico a Cloud + DRP (Motor de Evaluación)</t>
  </si>
  <si>
    <t>Migrar la plataforma FICO a la nube OCI junto con realizar el Upgrade a la nueva Versión de la herramienta y mejorar en las integraciones. Esto permitirá a nuestro ejecutivos tener alta disponibilidad del sistema de evaluación y a TI tener una mejor Observabilidad del sistema.</t>
  </si>
  <si>
    <t>I</t>
  </si>
  <si>
    <t>Upgrade a new Fico</t>
  </si>
  <si>
    <t>Dominio Tecnologico Transversal</t>
  </si>
  <si>
    <t>Autoservicio</t>
  </si>
  <si>
    <t>Upgrade</t>
  </si>
  <si>
    <t>Autoservicio en sucursales</t>
  </si>
  <si>
    <t>Visual Basic</t>
  </si>
  <si>
    <t>Canales</t>
  </si>
  <si>
    <t>OnPremise</t>
  </si>
  <si>
    <t>OCI</t>
  </si>
  <si>
    <t>Crédito Social</t>
  </si>
  <si>
    <t>WCC Repositorio documental</t>
  </si>
  <si>
    <t>DEbe ser migrado por PRoyecto New Core</t>
  </si>
  <si>
    <t>FlexCube</t>
  </si>
  <si>
    <t>Pilar Financiero. Plataforma bancaria</t>
  </si>
  <si>
    <t>Prestaciones Financieras</t>
  </si>
  <si>
    <t>Package</t>
  </si>
  <si>
    <t>IaaS</t>
  </si>
  <si>
    <t>Externo</t>
  </si>
  <si>
    <t>Debe ser considerada su migración en proyecto New Core</t>
  </si>
  <si>
    <t>Scoring</t>
  </si>
  <si>
    <t>Pilar Financiero. Sistema de evaluación de riesgo?*</t>
  </si>
  <si>
    <t>Se migra en contexto de proyecto de Upgrade FICO Cloud y en contexto de New Core</t>
  </si>
  <si>
    <t>Siebel</t>
  </si>
  <si>
    <t>Pilar Financiero. Solución de gestión de relaciones con clientes (CRM)</t>
  </si>
  <si>
    <t>Se migra a Salesforce</t>
  </si>
  <si>
    <t>SOA PF</t>
  </si>
  <si>
    <t>Pilar Financiero. Herramienta de integración (Oracle Service Bus)</t>
  </si>
  <si>
    <t>PaaS</t>
  </si>
  <si>
    <t>Se debe Decomisar por Integración de Salesforce  con Flexcube</t>
  </si>
  <si>
    <t>Gestión de Reprogramaciones INIC-413</t>
  </si>
  <si>
    <t>Considerando que gran parte del alcance de este viaje será abordado por el Nuevo Core Financiero, se requiere avanzar con un alcance intermedio que permita favorecer el recupero a través de los distintos canales de atención disponibilizando las herramientas necesarias para ofertar, simular y cerrar las condiciones de las Reprogramación acordadas con nuestros clientes, que luego sean inyectadas a nuestro sistemas de crédito para dar continuidad al flujo de aprobación y curse.</t>
  </si>
  <si>
    <r>
      <rPr>
        <rFont val="Calibri"/>
        <b/>
        <color theme="1"/>
        <sz val="11.0"/>
      </rPr>
      <t>Backend:</t>
    </r>
    <r>
      <rPr>
        <rFont val="Calibri"/>
        <color theme="1"/>
        <sz val="11.0"/>
      </rPr>
      <t xml:space="preserve">Proyecto GCP Api Multi-Tenant
</t>
    </r>
    <r>
      <rPr>
        <rFont val="Calibri"/>
        <b/>
        <color theme="1"/>
        <sz val="11.0"/>
      </rPr>
      <t xml:space="preserve">Namespace: </t>
    </r>
    <r>
      <rPr>
        <rFont val="Calibri"/>
        <color theme="1"/>
        <sz val="11.0"/>
      </rPr>
      <t xml:space="preserve">ms-creditos-reprogramacion
</t>
    </r>
    <r>
      <rPr>
        <rFont val="Calibri"/>
        <b/>
        <color theme="1"/>
        <sz val="11.0"/>
      </rPr>
      <t>Nodo:</t>
    </r>
    <r>
      <rPr>
        <rFont val="Calibri"/>
        <color theme="1"/>
        <sz val="11.0"/>
      </rPr>
      <t xml:space="preserve"> creditos-pool</t>
    </r>
  </si>
  <si>
    <t>Se debe migrar a la Venta de Credito por Salesforce</t>
  </si>
  <si>
    <t>Historico WebCenterContent PF</t>
  </si>
  <si>
    <t>Historico WCC PF</t>
  </si>
  <si>
    <t>Se debe migrar en contexto de proyecto New Core</t>
  </si>
  <si>
    <t>APB (Plan de Bienestar)</t>
  </si>
  <si>
    <t>Revisar a que corresponde</t>
  </si>
  <si>
    <t>APB (Becas de Estudio)</t>
  </si>
  <si>
    <t>Complementarias</t>
  </si>
  <si>
    <t>DMS</t>
  </si>
  <si>
    <t>DMS o CPC es un proceso que genera un archivo plano desde pilar 2 veces al dia (contiene listsa de creditos) y se transfiere a proveedor "megaarchivo"</t>
  </si>
  <si>
    <t>Control Documentos Creditos</t>
  </si>
  <si>
    <t>Storbox</t>
  </si>
  <si>
    <t>Portabilidad Financiera</t>
  </si>
  <si>
    <t>portabilidad-financiera-dev
portabilidad-financiera-qa
portabilidad-financiera-prd
portabilidad-backend-prd
portabilidad-backend-dev
portabilidad-backend-qa</t>
  </si>
  <si>
    <t>Sinacaf</t>
  </si>
  <si>
    <t>AS IS</t>
  </si>
  <si>
    <t>TO BE</t>
  </si>
  <si>
    <t>Correlativo</t>
  </si>
  <si>
    <t xml:space="preserve">Sistema / Plataforma </t>
  </si>
  <si>
    <t>Tobe Nuevo</t>
  </si>
  <si>
    <t>Sistema/Plataforma</t>
  </si>
  <si>
    <t>TIME
T: Tolerar
I: Invertir/Potenciar
M: Migrar
E: Eliminar</t>
  </si>
  <si>
    <r>
      <rPr>
        <rFont val="Calibri"/>
        <b/>
        <color theme="1"/>
        <sz val="11.0"/>
      </rPr>
      <t>Backend:</t>
    </r>
    <r>
      <rPr>
        <rFont val="Calibri"/>
        <color theme="1"/>
        <sz val="11.0"/>
      </rPr>
      <t xml:space="preserve">Proyecto GCP Api Multi-Tenant
</t>
    </r>
    <r>
      <rPr>
        <rFont val="Calibri"/>
        <b/>
        <color theme="1"/>
        <sz val="11.0"/>
      </rPr>
      <t xml:space="preserve">Namespace: </t>
    </r>
    <r>
      <rPr>
        <rFont val="Calibri"/>
        <color theme="1"/>
        <sz val="11.0"/>
      </rPr>
      <t xml:space="preserve">ms-credito
</t>
    </r>
    <r>
      <rPr>
        <rFont val="Calibri"/>
        <b/>
        <color theme="1"/>
        <sz val="11.0"/>
      </rPr>
      <t>Nodo:</t>
    </r>
    <r>
      <rPr>
        <rFont val="Calibri"/>
        <color theme="1"/>
        <sz val="11.0"/>
      </rPr>
      <t xml:space="preserve"> creditos-pool</t>
    </r>
  </si>
  <si>
    <t>Flexcube 11.3, Siebel</t>
  </si>
  <si>
    <r>
      <rPr>
        <rFont val="Calibri"/>
        <b/>
        <color theme="1"/>
        <sz val="11.0"/>
      </rPr>
      <t>Backend:</t>
    </r>
    <r>
      <rPr>
        <rFont val="Calibri"/>
        <color theme="1"/>
        <sz val="11.0"/>
      </rPr>
      <t xml:space="preserve">Proyecto GCP Api credito-social-cladigital
</t>
    </r>
    <r>
      <rPr>
        <rFont val="Calibri"/>
        <b/>
        <color theme="1"/>
        <sz val="11.0"/>
      </rPr>
      <t>Namespace:</t>
    </r>
    <r>
      <rPr>
        <rFont val="Calibri"/>
        <color theme="1"/>
        <sz val="11.0"/>
      </rPr>
      <t xml:space="preserve"> ms-credito-social-cladigital
</t>
    </r>
    <r>
      <rPr>
        <rFont val="Calibri"/>
        <b/>
        <color theme="1"/>
        <sz val="11.0"/>
      </rPr>
      <t xml:space="preserve">Nodo: </t>
    </r>
    <r>
      <rPr>
        <rFont val="Calibri"/>
        <color theme="1"/>
        <sz val="11.0"/>
      </rPr>
      <t>node-credito-social-pool</t>
    </r>
  </si>
  <si>
    <t>Hipotecario</t>
  </si>
  <si>
    <t>Automatizaciones</t>
  </si>
  <si>
    <t>Cristian Cofre</t>
  </si>
  <si>
    <t>Cristian Cofre - 19-nov-2024: CCofré - En esta línea, no podemos identificar con precisión a qué se refiere, por lo que no debe ser decomizada</t>
  </si>
  <si>
    <t>Última cuota de un crédito Hipotecario es el 2049</t>
  </si>
  <si>
    <t>Mantención de Tasas de Interés</t>
  </si>
  <si>
    <t>Cristian Cofre - 19-nov-2024: CCofré - No sabemos a que se refieren estos desarrollos de ASP - Pero esta funcionalidad no debería estar en uso dada la descripción, ya que esta acción ya no se requere</t>
  </si>
  <si>
    <t>Edición de parámetros y tasas</t>
  </si>
  <si>
    <t>Creación de parámetros y tasas</t>
  </si>
  <si>
    <t>Prefactibilidad (NUEVO)</t>
  </si>
  <si>
    <t>E</t>
  </si>
  <si>
    <t>Prefactibilidad (NUEVO 08-06-2010)</t>
  </si>
  <si>
    <t>EJECUTIVOS</t>
  </si>
  <si>
    <t>CREDITO HIPOTECARIO</t>
  </si>
  <si>
    <t>MCR</t>
  </si>
  <si>
    <t>Mandato Canales Remotos</t>
  </si>
  <si>
    <t>Componentes Digitales</t>
  </si>
  <si>
    <t>Administracion para los ejecutivos involucrados en los creditos</t>
  </si>
  <si>
    <t>GCP GKE</t>
  </si>
  <si>
    <t>Crédito Hipotecario</t>
  </si>
  <si>
    <t>Cristian Cofre - 19-nov-2024: CCofré - No se puede decomizar mientras, ete es el módulo que usan los ejecutivos para dar respuesta a las consultas que puedan presentar los afiliados. A esta fecha quedan como 900 créditos activos y se dan de baja de uno a dos por mes, la última cuota está fijada para el 2049</t>
  </si>
  <si>
    <t>Módulo HIP</t>
  </si>
  <si>
    <t>Dorian Patricio Alegria</t>
  </si>
  <si>
    <t>Módulo CRE</t>
  </si>
  <si>
    <t>Oracle- Proyecto New Core</t>
  </si>
  <si>
    <t>Flexcube 14.7</t>
  </si>
  <si>
    <t>Migrar en contexto de New Core</t>
  </si>
  <si>
    <t>Cupo Controlado</t>
  </si>
  <si>
    <t>Cristian Cofre - 19-nov-2024: CCofré - Vallidado con Eduatdo Miranda y Hernán Véliz, se puede dar de baja ahora, "es un producto que ya no esta vigente en Menú Andes, no hay operaciones y tampoco saldos pendientes."</t>
  </si>
  <si>
    <t>Módulo CSP</t>
  </si>
  <si>
    <t>DE accuerdo a lo revisado, ya no es un producto Comercial Vigente y no tiene movimientos</t>
  </si>
  <si>
    <t>Cristian Cofre - 19-nov-2024: CCofré - Esto aún se usa, pero se debe evaluar su migración a Flex, ya que es una funcionalidad que si es soportada por el nuevo Core, gestionaremos una meet con Pato, Sole y Daniel para evaluar posibilidades</t>
  </si>
  <si>
    <t>Módulo LCR</t>
  </si>
  <si>
    <t>FlexCube 11.3</t>
  </si>
  <si>
    <t>Salesforce (SAAS)</t>
  </si>
  <si>
    <t>Sales</t>
  </si>
  <si>
    <t>TBD (Tentativo Desarrollo Custom)</t>
  </si>
  <si>
    <r>
      <rPr>
        <rFont val="Calibri"/>
        <b/>
        <color theme="1"/>
        <sz val="11.0"/>
      </rPr>
      <t>Backend:</t>
    </r>
    <r>
      <rPr>
        <rFont val="Calibri"/>
        <color theme="1"/>
        <sz val="11.0"/>
      </rPr>
      <t xml:space="preserve">Proyecto GCP Api Multi-Tenant
</t>
    </r>
    <r>
      <rPr>
        <rFont val="Calibri"/>
        <b/>
        <color theme="1"/>
        <sz val="11.0"/>
      </rPr>
      <t xml:space="preserve">Namespace: </t>
    </r>
    <r>
      <rPr>
        <rFont val="Calibri"/>
        <color theme="1"/>
        <sz val="11.0"/>
      </rPr>
      <t xml:space="preserve">ms-creditos-reprogramacion
</t>
    </r>
    <r>
      <rPr>
        <rFont val="Calibri"/>
        <b/>
        <color theme="1"/>
        <sz val="11.0"/>
      </rPr>
      <t>Nodo:</t>
    </r>
    <r>
      <rPr>
        <rFont val="Calibri"/>
        <color theme="1"/>
        <sz val="11.0"/>
      </rPr>
      <t xml:space="preserve"> creditos-pool</t>
    </r>
  </si>
  <si>
    <t>Gestor Documental Corp</t>
  </si>
  <si>
    <t>Arca (histórico)</t>
  </si>
  <si>
    <t>No Iniciado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</si>
</sst>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mmmm yyyy"/>
  </numFmts>
  <fonts count="14">
    <font>
      <sz val="10.0"/>
      <color rgb="FF000000"/>
      <name val="Arial"/>
      <scheme val="minor"/>
    </font>
    <font>
      <b/>
      <sz val="7.0"/>
      <color rgb="FFFFFFFF"/>
      <name val="Calibri"/>
    </font>
    <font>
      <color theme="1"/>
      <name val="Arial"/>
    </font>
    <font>
      <sz val="8.0"/>
      <color theme="1"/>
      <name val="Calibri"/>
    </font>
    <font>
      <sz val="8.0"/>
      <color theme="1"/>
      <name val="Verdana"/>
    </font>
    <font>
      <sz val="7.0"/>
      <color theme="1"/>
      <name val="Calibri"/>
    </font>
    <font>
      <b/>
      <color rgb="FFFFFFFF"/>
      <name val="Calibri"/>
    </font>
    <font>
      <sz val="11.0"/>
      <color theme="1"/>
      <name val="Calibri"/>
    </font>
    <font>
      <sz val="9.0"/>
      <color theme="1"/>
      <name val="Google Sans Mono"/>
    </font>
    <font>
      <u/>
      <sz val="11.0"/>
      <color theme="1"/>
      <name val="Calibri"/>
    </font>
    <font>
      <u/>
      <color theme="1"/>
      <name val="Arial"/>
    </font>
    <font>
      <b/>
      <sz val="16.0"/>
      <color rgb="FFFFFFFF"/>
      <name val="Calibri"/>
    </font>
    <font>
      <u/>
      <sz val="11.0"/>
      <color rgb="FF1155CC"/>
      <name val="Calibri"/>
    </font>
    <font>
      <u/>
      <sz val="11.0"/>
      <color rgb="FF1155CC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CE5CD"/>
        <bgColor rgb="FFFCE5CD"/>
      </patternFill>
    </fill>
    <fill>
      <patternFill patternType="solid">
        <fgColor rgb="FFEBEFF1"/>
        <bgColor rgb="FFEBEFF1"/>
      </patternFill>
    </fill>
    <fill>
      <patternFill patternType="solid">
        <fgColor rgb="FF000066"/>
        <bgColor rgb="FF000066"/>
      </patternFill>
    </fill>
    <fill>
      <patternFill patternType="solid">
        <fgColor rgb="FF6D9EEB"/>
        <bgColor rgb="FF6D9EEB"/>
      </patternFill>
    </fill>
    <fill>
      <patternFill patternType="solid">
        <fgColor rgb="FF34A853"/>
        <bgColor rgb="FF34A853"/>
      </patternFill>
    </fill>
  </fills>
  <borders count="8">
    <border/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right style="thin">
        <color rgb="FF00B0F0"/>
      </right>
      <top style="thin">
        <color rgb="FF00B0F0"/>
      </top>
      <bottom style="thin">
        <color rgb="FF00B0F0"/>
      </bottom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4285F4"/>
      </left>
      <top style="thin">
        <color rgb="FF4285F4"/>
      </top>
      <bottom style="thin">
        <color rgb="FF4285F4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bottom" wrapText="1"/>
    </xf>
    <xf borderId="1" fillId="2" fontId="1" numFmtId="49" xfId="0" applyAlignment="1" applyBorder="1" applyFont="1" applyNumberFormat="1">
      <alignment shrinkToFit="0" vertical="bottom" wrapText="1"/>
    </xf>
    <xf borderId="1" fillId="2" fontId="2" numFmtId="49" xfId="0" applyAlignment="1" applyBorder="1" applyFont="1" applyNumberFormat="1">
      <alignment vertical="bottom"/>
    </xf>
    <xf borderId="0" fillId="2" fontId="1" numFmtId="49" xfId="0" applyAlignment="1" applyFont="1" applyNumberFormat="1">
      <alignment horizontal="center" shrinkToFit="0" vertical="bottom" wrapText="1"/>
    </xf>
    <xf borderId="0" fillId="2" fontId="2" numFmtId="49" xfId="0" applyAlignment="1" applyFont="1" applyNumberFormat="1">
      <alignment vertical="bottom"/>
    </xf>
    <xf borderId="2" fillId="2" fontId="1" numFmtId="49" xfId="0" applyAlignment="1" applyBorder="1" applyFont="1" applyNumberFormat="1">
      <alignment horizontal="center" shrinkToFit="0" vertical="bottom" wrapText="1"/>
    </xf>
    <xf borderId="3" fillId="2" fontId="1" numFmtId="49" xfId="0" applyAlignment="1" applyBorder="1" applyFont="1" applyNumberFormat="1">
      <alignment horizontal="center" shrinkToFit="0" vertical="bottom" wrapText="1"/>
    </xf>
    <xf borderId="1" fillId="3" fontId="3" numFmtId="1" xfId="0" applyAlignment="1" applyBorder="1" applyFill="1" applyFont="1" applyNumberForma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0" fontId="4" numFmtId="49" xfId="0" applyAlignment="1" applyBorder="1" applyFont="1" applyNumberFormat="1">
      <alignment vertical="bottom"/>
    </xf>
    <xf borderId="1" fillId="3" fontId="3" numFmtId="0" xfId="0" applyAlignment="1" applyBorder="1" applyFont="1">
      <alignment vertical="bottom"/>
    </xf>
    <xf borderId="1" fillId="3" fontId="3" numFmtId="49" xfId="0" applyAlignment="1" applyBorder="1" applyFont="1" applyNumberFormat="1">
      <alignment shrinkToFit="0" vertical="bottom" wrapText="1"/>
    </xf>
    <xf borderId="1" fillId="3" fontId="3" numFmtId="49" xfId="0" applyAlignment="1" applyBorder="1" applyFont="1" applyNumberFormat="1">
      <alignment vertical="bottom"/>
    </xf>
    <xf borderId="1" fillId="4" fontId="3" numFmtId="0" xfId="0" applyAlignment="1" applyBorder="1" applyFill="1" applyFont="1">
      <alignment vertical="bottom"/>
    </xf>
    <xf borderId="1" fillId="3" fontId="3" numFmtId="10" xfId="0" applyAlignment="1" applyBorder="1" applyFont="1" applyNumberFormat="1">
      <alignment horizontal="right" vertical="bottom"/>
    </xf>
    <xf borderId="1" fillId="3" fontId="3" numFmtId="10" xfId="0" applyAlignment="1" applyBorder="1" applyFont="1" applyNumberFormat="1">
      <alignment horizontal="center" vertical="bottom"/>
    </xf>
    <xf borderId="1" fillId="3" fontId="3" numFmtId="164" xfId="0" applyAlignment="1" applyBorder="1" applyFont="1" applyNumberFormat="1">
      <alignment horizontal="center" vertical="bottom"/>
    </xf>
    <xf borderId="0" fillId="3" fontId="3" numFmtId="0" xfId="0" applyAlignment="1" applyFont="1">
      <alignment horizontal="center" vertical="bottom"/>
    </xf>
    <xf borderId="0" fillId="3" fontId="2" numFmtId="0" xfId="0" applyAlignment="1" applyFont="1">
      <alignment vertical="bottom"/>
    </xf>
    <xf borderId="0" fillId="3" fontId="3" numFmtId="10" xfId="0" applyAlignment="1" applyFont="1" applyNumberFormat="1">
      <alignment horizontal="center" vertical="bottom"/>
    </xf>
    <xf borderId="0" fillId="3" fontId="2" numFmtId="10" xfId="0" applyAlignment="1" applyFont="1" applyNumberFormat="1">
      <alignment vertical="bottom"/>
    </xf>
    <xf borderId="1" fillId="3" fontId="5" numFmtId="1" xfId="0" applyAlignment="1" applyBorder="1" applyFont="1" applyNumberFormat="1">
      <alignment horizontal="center" vertical="bottom"/>
    </xf>
    <xf borderId="1" fillId="3" fontId="5" numFmtId="0" xfId="0" applyAlignment="1" applyBorder="1" applyFont="1">
      <alignment horizontal="center" vertical="bottom"/>
    </xf>
    <xf borderId="1" fillId="0" fontId="5" numFmtId="49" xfId="0" applyAlignment="1" applyBorder="1" applyFont="1" applyNumberFormat="1">
      <alignment vertical="bottom"/>
    </xf>
    <xf borderId="1" fillId="3" fontId="5" numFmtId="0" xfId="0" applyAlignment="1" applyBorder="1" applyFont="1">
      <alignment vertical="bottom"/>
    </xf>
    <xf borderId="1" fillId="3" fontId="5" numFmtId="49" xfId="0" applyAlignment="1" applyBorder="1" applyFont="1" applyNumberFormat="1">
      <alignment vertical="bottom"/>
    </xf>
    <xf borderId="1" fillId="3" fontId="5" numFmtId="49" xfId="0" applyAlignment="1" applyBorder="1" applyFont="1" applyNumberFormat="1">
      <alignment shrinkToFit="0" vertical="bottom" wrapText="1"/>
    </xf>
    <xf borderId="1" fillId="0" fontId="5" numFmtId="0" xfId="0" applyAlignment="1" applyBorder="1" applyFont="1">
      <alignment vertical="bottom"/>
    </xf>
    <xf borderId="1" fillId="4" fontId="5" numFmtId="0" xfId="0" applyAlignment="1" applyBorder="1" applyFont="1">
      <alignment vertical="bottom"/>
    </xf>
    <xf borderId="1" fillId="3" fontId="5" numFmtId="10" xfId="0" applyAlignment="1" applyBorder="1" applyFont="1" applyNumberFormat="1">
      <alignment horizontal="right" vertical="bottom"/>
    </xf>
    <xf borderId="1" fillId="3" fontId="5" numFmtId="10" xfId="0" applyAlignment="1" applyBorder="1" applyFont="1" applyNumberFormat="1">
      <alignment horizontal="center" vertical="bottom"/>
    </xf>
    <xf borderId="0" fillId="3" fontId="5" numFmtId="0" xfId="0" applyAlignment="1" applyFont="1">
      <alignment horizontal="center" vertical="bottom"/>
    </xf>
    <xf borderId="0" fillId="3" fontId="5" numFmtId="10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3" fontId="5" numFmtId="0" xfId="0" applyAlignment="1" applyFont="1">
      <alignment vertical="bottom"/>
    </xf>
    <xf borderId="1" fillId="0" fontId="3" numFmtId="49" xfId="0" applyAlignment="1" applyBorder="1" applyFont="1" applyNumberFormat="1">
      <alignment vertical="bottom"/>
    </xf>
    <xf borderId="0" fillId="3" fontId="3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5" fontId="3" numFmtId="0" xfId="0" applyAlignment="1" applyBorder="1" applyFill="1" applyFon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vertical="bottom"/>
    </xf>
    <xf borderId="1" fillId="0" fontId="5" numFmtId="10" xfId="0" applyAlignment="1" applyBorder="1" applyFont="1" applyNumberFormat="1">
      <alignment horizontal="center" vertical="bottom"/>
    </xf>
    <xf borderId="3" fillId="3" fontId="5" numFmtId="0" xfId="0" applyAlignment="1" applyBorder="1" applyFont="1">
      <alignment horizontal="center" vertical="bottom"/>
    </xf>
    <xf borderId="4" fillId="6" fontId="5" numFmtId="0" xfId="0" applyAlignment="1" applyBorder="1" applyFill="1" applyFont="1">
      <alignment vertical="bottom"/>
    </xf>
    <xf borderId="0" fillId="6" fontId="5" numFmtId="0" xfId="0" applyAlignment="1" applyFont="1">
      <alignment vertical="bottom"/>
    </xf>
    <xf borderId="5" fillId="6" fontId="5" numFmtId="0" xfId="0" applyAlignment="1" applyBorder="1" applyFont="1">
      <alignment vertical="bottom"/>
    </xf>
    <xf borderId="3" fillId="3" fontId="5" numFmtId="0" xfId="0" applyAlignment="1" applyBorder="1" applyFont="1">
      <alignment vertical="bottom"/>
    </xf>
    <xf borderId="3" fillId="4" fontId="5" numFmtId="0" xfId="0" applyAlignment="1" applyBorder="1" applyFont="1">
      <alignment vertical="bottom"/>
    </xf>
    <xf borderId="6" fillId="3" fontId="5" numFmtId="10" xfId="0" applyAlignment="1" applyBorder="1" applyFont="1" applyNumberFormat="1">
      <alignment horizontal="right" vertical="bottom"/>
    </xf>
    <xf borderId="4" fillId="3" fontId="5" numFmtId="0" xfId="0" applyAlignment="1" applyBorder="1" applyFont="1">
      <alignment vertical="bottom"/>
    </xf>
    <xf borderId="0" fillId="3" fontId="5" numFmtId="0" xfId="0" applyAlignment="1" applyFont="1">
      <alignment vertical="bottom"/>
    </xf>
    <xf borderId="5" fillId="3" fontId="5" numFmtId="0" xfId="0" applyAlignment="1" applyBorder="1" applyFont="1">
      <alignment vertical="bottom"/>
    </xf>
    <xf borderId="7" fillId="7" fontId="6" numFmtId="49" xfId="0" applyAlignment="1" applyBorder="1" applyFill="1" applyFont="1" applyNumberFormat="1">
      <alignment horizontal="center" shrinkToFit="0" wrapText="1"/>
    </xf>
    <xf borderId="7" fillId="7" fontId="6" numFmtId="49" xfId="0" applyAlignment="1" applyBorder="1" applyFont="1" applyNumberFormat="1">
      <alignment horizontal="center" shrinkToFit="0" vertical="top" wrapText="1"/>
    </xf>
    <xf borderId="0" fillId="7" fontId="6" numFmtId="49" xfId="0" applyAlignment="1" applyFont="1" applyNumberFormat="1">
      <alignment horizontal="center" shrinkToFit="0" wrapText="1"/>
    </xf>
    <xf borderId="0" fillId="3" fontId="7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3" fontId="7" numFmtId="0" xfId="0" applyFont="1"/>
    <xf borderId="0" fillId="0" fontId="8" numFmtId="0" xfId="0" applyAlignment="1" applyFont="1">
      <alignment horizontal="center"/>
    </xf>
    <xf borderId="0" fillId="3" fontId="8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 vertical="bottom"/>
    </xf>
    <xf borderId="0" fillId="3" fontId="2" numFmtId="0" xfId="0" applyFont="1"/>
    <xf borderId="0" fillId="3" fontId="9" numFmtId="0" xfId="0" applyFont="1"/>
    <xf borderId="0" fillId="3" fontId="7" numFmtId="0" xfId="0" applyAlignment="1" applyFont="1">
      <alignment shrinkToFit="0" wrapText="0"/>
    </xf>
    <xf borderId="0" fillId="0" fontId="2" numFmtId="0" xfId="0" applyFont="1"/>
    <xf borderId="0" fillId="3" fontId="7" numFmtId="0" xfId="0" applyAlignment="1" applyFont="1">
      <alignment shrinkToFit="0" wrapText="1"/>
    </xf>
    <xf borderId="0" fillId="3" fontId="7" numFmtId="0" xfId="0" applyAlignment="1" applyFont="1">
      <alignment horizontal="center" vertical="bottom"/>
    </xf>
    <xf borderId="0" fillId="3" fontId="7" numFmtId="0" xfId="0" applyAlignment="1" applyFont="1">
      <alignment vertical="bottom"/>
    </xf>
    <xf borderId="0" fillId="3" fontId="10" numFmtId="0" xfId="0" applyFont="1"/>
    <xf borderId="1" fillId="3" fontId="7" numFmtId="0" xfId="0" applyBorder="1" applyFont="1"/>
    <xf borderId="0" fillId="8" fontId="2" numFmtId="49" xfId="0" applyFill="1" applyFont="1" applyNumberFormat="1"/>
    <xf borderId="0" fillId="7" fontId="11" numFmtId="49" xfId="0" applyAlignment="1" applyFont="1" applyNumberFormat="1">
      <alignment horizontal="center" shrinkToFit="0" wrapText="1"/>
    </xf>
    <xf borderId="0" fillId="7" fontId="2" numFmtId="49" xfId="0" applyFont="1" applyNumberFormat="1"/>
    <xf borderId="0" fillId="9" fontId="11" numFmtId="49" xfId="0" applyAlignment="1" applyFill="1" applyFont="1" applyNumberFormat="1">
      <alignment horizontal="center" shrinkToFit="0" wrapText="1"/>
    </xf>
    <xf borderId="0" fillId="8" fontId="6" numFmtId="49" xfId="0" applyAlignment="1" applyFont="1" applyNumberFormat="1">
      <alignment horizontal="center" shrinkToFit="0" wrapText="1"/>
    </xf>
    <xf borderId="0" fillId="9" fontId="6" numFmtId="49" xfId="0" applyAlignment="1" applyFont="1" applyNumberFormat="1">
      <alignment horizontal="center" shrinkToFit="0" wrapText="1"/>
    </xf>
    <xf borderId="0" fillId="3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shrinkToFit="0" wrapText="1"/>
    </xf>
    <xf borderId="0" fillId="3" fontId="12" numFmtId="0" xfId="0" applyAlignment="1" applyFont="1">
      <alignment shrinkToFit="0" wrapText="1"/>
    </xf>
    <xf borderId="0" fillId="3" fontId="7" numFmtId="0" xfId="0" applyAlignment="1" applyFont="1">
      <alignment horizontal="right"/>
    </xf>
    <xf borderId="0" fillId="0" fontId="13" numFmtId="0" xfId="0" applyAlignment="1" applyFont="1">
      <alignment shrinkToFit="0" wrapText="1"/>
    </xf>
    <xf borderId="1" fillId="3" fontId="7" numFmtId="0" xfId="0" applyAlignment="1" applyBorder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Plataformas Credito-style">
      <tableStyleElement dxfId="1" type="firstRowStripe"/>
      <tableStyleElement dxfId="2" type="secondRowStripe"/>
    </tableStyle>
    <tableStyle count="2" pivot="0" name="Plataformas Credito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56:G59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Plataformas Credito-style" showColumnStripes="0" showFirstColumn="1" showLastColumn="1" showRowStripes="1"/>
</table>
</file>

<file path=xl/tables/table2.xml><?xml version="1.0" encoding="utf-8"?>
<table xmlns="http://schemas.openxmlformats.org/spreadsheetml/2006/main" headerRowCount="0" ref="I56:J59" displayName="Table_2" name="Table_2" id="2">
  <tableColumns count="2">
    <tableColumn name="Column1" id="1"/>
    <tableColumn name="Column2" id="2"/>
  </tableColumns>
  <tableStyleInfo name="Plataformas Credit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patricio.alegria@cajalosandes.cl" TargetMode="External"/><Relationship Id="rId3" Type="http://schemas.openxmlformats.org/officeDocument/2006/relationships/hyperlink" Target="mailto:isabelle.bellet@cajalosandes.cl" TargetMode="External"/><Relationship Id="rId4" Type="http://schemas.openxmlformats.org/officeDocument/2006/relationships/hyperlink" Target="mailto:argenis.rojas@cajalosandes.cl" TargetMode="External"/><Relationship Id="rId5" Type="http://schemas.openxmlformats.org/officeDocument/2006/relationships/hyperlink" Target="mailto:patricio.alegria@cajalosandes.cl" TargetMode="External"/><Relationship Id="rId6" Type="http://schemas.openxmlformats.org/officeDocument/2006/relationships/drawing" Target="../drawings/drawing2.xml"/><Relationship Id="rId7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ER5uhrioYDrda3Lmqrof1Tow9bPultNH/edit?gid=1570526564" TargetMode="External"/><Relationship Id="rId10" Type="http://schemas.openxmlformats.org/officeDocument/2006/relationships/hyperlink" Target="https://docs.google.com/spreadsheets/d/1ER5uhrioYDrda3Lmqrof1Tow9bPultNH/edit?gid=1570526564" TargetMode="External"/><Relationship Id="rId13" Type="http://schemas.openxmlformats.org/officeDocument/2006/relationships/vmlDrawing" Target="../drawings/vmlDrawing2.vml"/><Relationship Id="rId12" Type="http://schemas.openxmlformats.org/officeDocument/2006/relationships/drawing" Target="../drawings/drawing3.xml"/><Relationship Id="rId1" Type="http://schemas.openxmlformats.org/officeDocument/2006/relationships/comments" Target="../comments2.xml"/><Relationship Id="rId2" Type="http://schemas.openxmlformats.org/officeDocument/2006/relationships/hyperlink" Target="mailto:argenis.rojas@cajalosandes.cl" TargetMode="External"/><Relationship Id="rId3" Type="http://schemas.openxmlformats.org/officeDocument/2006/relationships/hyperlink" Target="mailto:cristian.cofre@cajalosandes.cl" TargetMode="External"/><Relationship Id="rId4" Type="http://schemas.openxmlformats.org/officeDocument/2006/relationships/hyperlink" Target="mailto:cristian.cofre@cajalosandes.cl" TargetMode="External"/><Relationship Id="rId9" Type="http://schemas.openxmlformats.org/officeDocument/2006/relationships/hyperlink" Target="mailto:patricio.alegria@cajalosandes.cl" TargetMode="External"/><Relationship Id="rId5" Type="http://schemas.openxmlformats.org/officeDocument/2006/relationships/hyperlink" Target="mailto:cristian.cofre@cajalosandes.cl" TargetMode="External"/><Relationship Id="rId6" Type="http://schemas.openxmlformats.org/officeDocument/2006/relationships/hyperlink" Target="mailto:argenis.rojas@cajalosandes.cl" TargetMode="External"/><Relationship Id="rId7" Type="http://schemas.openxmlformats.org/officeDocument/2006/relationships/hyperlink" Target="https://docs.google.com/spreadsheets/d/1ER5uhrioYDrda3Lmqrof1Tow9bPultNH/edit?gid=1570526564" TargetMode="External"/><Relationship Id="rId8" Type="http://schemas.openxmlformats.org/officeDocument/2006/relationships/hyperlink" Target="https://docs.google.com/spreadsheets/d/1ER5uhrioYDrda3Lmqrof1Tow9bPultNH/edit?gid=15705265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3"/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5"/>
      <c r="AM1" s="6" t="s">
        <v>36</v>
      </c>
      <c r="AN1" s="7" t="s">
        <v>37</v>
      </c>
    </row>
    <row r="2">
      <c r="A2" s="8">
        <v>16.0</v>
      </c>
      <c r="B2" s="9" t="s">
        <v>38</v>
      </c>
      <c r="C2" s="9" t="s">
        <v>38</v>
      </c>
      <c r="D2" s="10" t="s">
        <v>39</v>
      </c>
      <c r="E2" s="10" t="s">
        <v>40</v>
      </c>
      <c r="F2" s="10" t="s">
        <v>41</v>
      </c>
      <c r="G2" s="9" t="s">
        <v>42</v>
      </c>
      <c r="H2" s="11" t="s">
        <v>43</v>
      </c>
      <c r="I2" s="11" t="s">
        <v>44</v>
      </c>
      <c r="J2" s="12" t="s">
        <v>44</v>
      </c>
      <c r="K2" s="11" t="s">
        <v>45</v>
      </c>
      <c r="L2" s="9" t="s">
        <v>46</v>
      </c>
      <c r="M2" s="9" t="s">
        <v>47</v>
      </c>
      <c r="N2" s="9" t="s">
        <v>48</v>
      </c>
      <c r="O2" s="13" t="s">
        <v>49</v>
      </c>
      <c r="P2" s="13" t="s">
        <v>50</v>
      </c>
      <c r="Q2" s="10" t="s">
        <v>51</v>
      </c>
      <c r="R2" s="14" t="str">
        <f t="shared" ref="R2:R59" si="1">verificarVersionOS(Q2)</f>
        <v>#NAME?</v>
      </c>
      <c r="S2" s="11" t="str">
        <f t="shared" ref="S2:S59" si="2">IFERROR(
  IF(ISNUMBER(FIND("Soporte hasta: ", R2)),
    IF(VALUE(MID(R2,16,10))&lt;TODAY(),"🟥 Obsoleto",
      IF(YEAR(VALUE(MID(R2,16,10)))=YEAR(TODAY()),"Actualizaciones disponibles",
        IF(YEAR(VALUE(MID(R2,16,10)))-YEAR(TODAY())=1,"Actualizaciones disponibles",
          IF(YEAR(VALUE(MID(R2,16,10)))-YEAR(TODAY())=2,"Actualizaciones disponibles",
            "Actualizaciones disponibles"
          )
        )
      )
    ),
    "⛔ Sin datos"
  ),
  "⛔ Error en fecha"
)
</f>
        <v>⛔ Sin datos</v>
      </c>
      <c r="T2" s="11" t="str">
        <f t="shared" ref="T2:T52" si="3">IF(OR(S2 = "🟥 Obsoleto",S2 = "⛔ Sin datos"),
  "Ya no cuenta con actualizaciones",
  IFERROR(
    CONCATENATE(
      "E" &amp; IFERROR(CHOOSE(MATCH(INDEX(ControlMensual!H:H, MATCH(F2, ControlMensual!B:B, 0)), {"ok";"no";"pendiente"}, 0),"✅","❌","🕓"), "⛔") &amp; " ",
      "F" &amp; IFERROR(CHOOSE(MATCH(INDEX(ControlMensual!I:I, MATCH(F2, ControlMensual!B:B, 0)), {"ok";"no";"pendiente"}, 0),"✅","❌","🕓"), "⛔") &amp; " ",
      "M" &amp; IFERROR(CHOOSE(MATCH(INDEX(ControlMensual!J:J, MATCH(F2, ControlMensual!B:B, 0)), {"ok";"no";"pendiente"}, 0),"✅","❌","🕓"), "⛔") &amp; " ",
      "A" &amp; IFERROR(CHOOSE(MATCH(INDEX(ControlMensual!K:K, MATCH(F2, ControlMensual!B:B, 0)), {"ok";"no";"pendiente"}, 0),"✅","❌","🕓"), "⛔") &amp; " ",
      "M" &amp; IFERROR(CHOOSE(MATCH(INDEX(ControlMensual!L:L, MATCH(F2, ControlMensual!B:B, 0)), {"ok";"no";"pendiente"}, 0),"✅","❌","🕓"), "⛔") &amp; " ",
      "J" &amp; IFERROR(CHOOSE(MATCH(INDEX(ControlMensual!M:M, MATCH(F2, ControlMensual!B:B, 0)), {"ok";"no";"pendiente"}, 0),"✅","❌","🕓"), "⛔") &amp; " ",
      "J" &amp; IFERROR(CHOOSE(MATCH(INDEX(ControlMensual!N:N, MATCH(F2, ControlMensual!B:B, 0)), {"ok";"no";"pendiente"}, 0),"✅","❌","🕓"), "⛔") &amp; " ",
      "A" &amp; IFERROR(CHOOSE(MATCH(INDEX(ControlMensual!O:O, MATCH(F2, ControlMensual!B:B, 0)), {"ok";"no";"pendiente"}, 0),"✅","❌","🕓"), "⛔") &amp; " ",
      "S" &amp; IFERROR(CHOOSE(MATCH(INDEX(ControlMensual!P:P, MATCH(F2, ControlMensual!B:B, 0)), {"ok";"no";"pendiente"}, 0),"✅","❌","🕓"), "⛔") &amp; " ",
      "O" &amp; IFERROR(CHOOSE(MATCH(INDEX(ControlMensual!Q:Q, MATCH(F2, ControlMensual!B:B, 0)), {"ok";"no";"pendiente"}, 0),"✅","❌","🕓"), "⛔") &amp; " ",
      "N" &amp; IFERROR(CHOOSE(MATCH(INDEX(ControlMensual!R:R, MATCH(F2, ControlMensual!B:B, 0)), {"ok";"no";"pendiente"}, 0),"✅","❌","🕓"), "⛔") &amp; " ",
      "D" &amp; IFERROR(CHOOSE(MATCH(INDEX(ControlMensual!S:S, MATCH(F2, ControlMensual!B:B, 0)), {"ok";"no";"pendiente"}, 0),"✅","❌","🕓"), "⛔")
    )
  ,"")
)
</f>
        <v>Ya no cuenta con actualizaciones</v>
      </c>
      <c r="U2" s="9" t="s">
        <v>52</v>
      </c>
      <c r="V2" s="9" t="s">
        <v>53</v>
      </c>
      <c r="W2" s="9" t="s">
        <v>53</v>
      </c>
      <c r="X2" s="9" t="s">
        <v>54</v>
      </c>
      <c r="Y2" s="15">
        <f t="shared" ref="Y2:Y59" si="4">COUNTIF(U2:X2,"Si")/(COUNTIF(U2:X2,"Si")+COUNTIF(U2:X2,"No"))</f>
        <v>0.3333333333</v>
      </c>
      <c r="Z2" s="16" t="s">
        <v>55</v>
      </c>
      <c r="AA2" s="17">
        <v>45930.0</v>
      </c>
      <c r="AB2" s="9" t="s">
        <v>56</v>
      </c>
      <c r="AC2" s="16" t="s">
        <v>57</v>
      </c>
      <c r="AD2" s="9" t="s">
        <v>53</v>
      </c>
      <c r="AE2" s="18" t="str">
        <f t="shared" ref="AE2:AE4" si="5">VLOOKUP(E2,Falcon!B$2:C$558,2,FALSE)</f>
        <v>#REF!</v>
      </c>
      <c r="AF2" s="18" t="str">
        <f t="shared" ref="AF2:AF55" si="6">VLOOKUP(E2,VisionOne!B$2:C$229,2,FALSE)</f>
        <v>#REF!</v>
      </c>
      <c r="AG2" s="18" t="str">
        <f t="shared" ref="AG2:AG7" si="7">VLOOKUP(E2,Central!B$2:C$217,2,FALSE)</f>
        <v>#REF!</v>
      </c>
      <c r="AH2" s="18" t="s">
        <v>52</v>
      </c>
      <c r="AI2" s="19"/>
      <c r="AJ2" s="18" t="s">
        <v>58</v>
      </c>
      <c r="AK2" s="18" t="s">
        <v>52</v>
      </c>
      <c r="AL2" s="18" t="s">
        <v>59</v>
      </c>
      <c r="AM2" s="20" t="str">
        <f t="shared" ref="AM2:AM4" si="8">VLOOKUP(D2,'Copia de vInfo 2'!A:A,1,FALSE)</f>
        <v>#REF!</v>
      </c>
      <c r="AN2" s="21"/>
    </row>
    <row r="3">
      <c r="A3" s="22">
        <v>19.0</v>
      </c>
      <c r="B3" s="23" t="s">
        <v>38</v>
      </c>
      <c r="C3" s="23" t="s">
        <v>38</v>
      </c>
      <c r="D3" s="24" t="s">
        <v>60</v>
      </c>
      <c r="E3" s="24" t="s">
        <v>61</v>
      </c>
      <c r="F3" s="24" t="s">
        <v>62</v>
      </c>
      <c r="G3" s="23" t="s">
        <v>42</v>
      </c>
      <c r="H3" s="25" t="s">
        <v>43</v>
      </c>
      <c r="I3" s="26" t="s">
        <v>63</v>
      </c>
      <c r="J3" s="27" t="s">
        <v>63</v>
      </c>
      <c r="K3" s="25" t="s">
        <v>45</v>
      </c>
      <c r="L3" s="23" t="s">
        <v>46</v>
      </c>
      <c r="M3" s="23" t="s">
        <v>47</v>
      </c>
      <c r="N3" s="23" t="s">
        <v>48</v>
      </c>
      <c r="O3" s="26" t="s">
        <v>49</v>
      </c>
      <c r="P3" s="28" t="s">
        <v>64</v>
      </c>
      <c r="Q3" s="24" t="s">
        <v>65</v>
      </c>
      <c r="R3" s="29" t="str">
        <f t="shared" si="1"/>
        <v>#NAME?</v>
      </c>
      <c r="S3" s="25" t="str">
        <f t="shared" si="2"/>
        <v>⛔ Sin datos</v>
      </c>
      <c r="T3" s="25" t="str">
        <f t="shared" si="3"/>
        <v>Ya no cuenta con actualizaciones</v>
      </c>
      <c r="U3" s="23" t="s">
        <v>52</v>
      </c>
      <c r="V3" s="23" t="s">
        <v>52</v>
      </c>
      <c r="W3" s="23" t="s">
        <v>53</v>
      </c>
      <c r="X3" s="23" t="s">
        <v>48</v>
      </c>
      <c r="Y3" s="30">
        <f t="shared" si="4"/>
        <v>0.6666666667</v>
      </c>
      <c r="Z3" s="31" t="s">
        <v>66</v>
      </c>
      <c r="AA3" s="31" t="s">
        <v>67</v>
      </c>
      <c r="AB3" s="31" t="s">
        <v>68</v>
      </c>
      <c r="AC3" s="31" t="s">
        <v>69</v>
      </c>
      <c r="AD3" s="23" t="s">
        <v>53</v>
      </c>
      <c r="AE3" s="32" t="str">
        <f t="shared" si="5"/>
        <v>#REF!</v>
      </c>
      <c r="AF3" s="32" t="str">
        <f t="shared" si="6"/>
        <v>#REF!</v>
      </c>
      <c r="AG3" s="32" t="str">
        <f t="shared" si="7"/>
        <v>#REF!</v>
      </c>
      <c r="AH3" s="32" t="s">
        <v>53</v>
      </c>
      <c r="AI3" s="19"/>
      <c r="AJ3" s="32" t="s">
        <v>70</v>
      </c>
      <c r="AK3" s="32" t="s">
        <v>53</v>
      </c>
      <c r="AL3" s="19"/>
      <c r="AM3" s="33" t="str">
        <f t="shared" si="8"/>
        <v>#REF!</v>
      </c>
      <c r="AN3" s="21"/>
    </row>
    <row r="4">
      <c r="A4" s="22">
        <v>21.0</v>
      </c>
      <c r="B4" s="23" t="s">
        <v>38</v>
      </c>
      <c r="C4" s="23" t="s">
        <v>38</v>
      </c>
      <c r="D4" s="24" t="s">
        <v>71</v>
      </c>
      <c r="E4" s="24" t="s">
        <v>72</v>
      </c>
      <c r="F4" s="24" t="s">
        <v>73</v>
      </c>
      <c r="G4" s="23" t="s">
        <v>42</v>
      </c>
      <c r="H4" s="25" t="s">
        <v>43</v>
      </c>
      <c r="I4" s="26" t="s">
        <v>63</v>
      </c>
      <c r="J4" s="27" t="s">
        <v>63</v>
      </c>
      <c r="K4" s="25" t="s">
        <v>45</v>
      </c>
      <c r="L4" s="23" t="s">
        <v>46</v>
      </c>
      <c r="M4" s="23" t="s">
        <v>47</v>
      </c>
      <c r="N4" s="23" t="s">
        <v>48</v>
      </c>
      <c r="O4" s="26" t="s">
        <v>49</v>
      </c>
      <c r="P4" s="24" t="s">
        <v>64</v>
      </c>
      <c r="Q4" s="24" t="s">
        <v>65</v>
      </c>
      <c r="R4" s="29" t="str">
        <f t="shared" si="1"/>
        <v>#NAME?</v>
      </c>
      <c r="S4" s="25" t="str">
        <f t="shared" si="2"/>
        <v>⛔ Sin datos</v>
      </c>
      <c r="T4" s="25" t="str">
        <f t="shared" si="3"/>
        <v>Ya no cuenta con actualizaciones</v>
      </c>
      <c r="U4" s="23" t="s">
        <v>52</v>
      </c>
      <c r="V4" s="23" t="s">
        <v>52</v>
      </c>
      <c r="W4" s="23" t="s">
        <v>53</v>
      </c>
      <c r="X4" s="23" t="s">
        <v>52</v>
      </c>
      <c r="Y4" s="30">
        <f t="shared" si="4"/>
        <v>0.75</v>
      </c>
      <c r="Z4" s="31" t="s">
        <v>66</v>
      </c>
      <c r="AA4" s="31" t="s">
        <v>67</v>
      </c>
      <c r="AB4" s="31" t="s">
        <v>68</v>
      </c>
      <c r="AC4" s="32" t="s">
        <v>74</v>
      </c>
      <c r="AD4" s="23" t="s">
        <v>53</v>
      </c>
      <c r="AE4" s="32" t="str">
        <f t="shared" si="5"/>
        <v>#REF!</v>
      </c>
      <c r="AF4" s="32" t="str">
        <f t="shared" si="6"/>
        <v>#REF!</v>
      </c>
      <c r="AG4" s="32" t="str">
        <f t="shared" si="7"/>
        <v>#REF!</v>
      </c>
      <c r="AH4" s="32" t="s">
        <v>53</v>
      </c>
      <c r="AI4" s="32" t="s">
        <v>74</v>
      </c>
      <c r="AJ4" s="32" t="s">
        <v>70</v>
      </c>
      <c r="AK4" s="32" t="s">
        <v>53</v>
      </c>
      <c r="AL4" s="19"/>
      <c r="AM4" s="33" t="str">
        <f t="shared" si="8"/>
        <v>#REF!</v>
      </c>
      <c r="AN4" s="21"/>
    </row>
    <row r="5">
      <c r="A5" s="22">
        <v>47.0</v>
      </c>
      <c r="B5" s="23" t="s">
        <v>38</v>
      </c>
      <c r="C5" s="23" t="s">
        <v>38</v>
      </c>
      <c r="D5" s="24" t="s">
        <v>75</v>
      </c>
      <c r="E5" s="24" t="s">
        <v>76</v>
      </c>
      <c r="F5" s="24" t="s">
        <v>77</v>
      </c>
      <c r="G5" s="23" t="s">
        <v>78</v>
      </c>
      <c r="H5" s="25" t="s">
        <v>43</v>
      </c>
      <c r="I5" s="26" t="s">
        <v>79</v>
      </c>
      <c r="J5" s="27" t="s">
        <v>79</v>
      </c>
      <c r="K5" s="25" t="s">
        <v>45</v>
      </c>
      <c r="L5" s="23" t="s">
        <v>46</v>
      </c>
      <c r="M5" s="23" t="s">
        <v>47</v>
      </c>
      <c r="N5" s="23" t="s">
        <v>48</v>
      </c>
      <c r="O5" s="24" t="s">
        <v>80</v>
      </c>
      <c r="P5" s="24" t="s">
        <v>81</v>
      </c>
      <c r="Q5" s="24" t="s">
        <v>82</v>
      </c>
      <c r="R5" s="29" t="str">
        <f t="shared" si="1"/>
        <v>#NAME?</v>
      </c>
      <c r="S5" s="25" t="str">
        <f t="shared" si="2"/>
        <v>⛔ Sin datos</v>
      </c>
      <c r="T5" s="25" t="str">
        <f t="shared" si="3"/>
        <v>Ya no cuenta con actualizaciones</v>
      </c>
      <c r="U5" s="23" t="s">
        <v>52</v>
      </c>
      <c r="V5" s="23" t="s">
        <v>52</v>
      </c>
      <c r="W5" s="23" t="s">
        <v>53</v>
      </c>
      <c r="X5" s="23" t="s">
        <v>54</v>
      </c>
      <c r="Y5" s="30">
        <f t="shared" si="4"/>
        <v>0.6666666667</v>
      </c>
      <c r="Z5" s="23" t="s">
        <v>66</v>
      </c>
      <c r="AA5" s="23" t="s">
        <v>67</v>
      </c>
      <c r="AB5" s="23" t="s">
        <v>56</v>
      </c>
      <c r="AC5" s="23" t="s">
        <v>69</v>
      </c>
      <c r="AD5" s="23" t="s">
        <v>53</v>
      </c>
      <c r="AE5" s="32" t="str">
        <f>VLOOKUP(E6,Falcon!B$2:C$558,2,FALSE)</f>
        <v>#REF!</v>
      </c>
      <c r="AF5" s="32" t="str">
        <f t="shared" si="6"/>
        <v>#REF!</v>
      </c>
      <c r="AG5" s="32" t="str">
        <f t="shared" si="7"/>
        <v>#REF!</v>
      </c>
      <c r="AH5" s="32" t="s">
        <v>53</v>
      </c>
      <c r="AI5" s="19"/>
      <c r="AJ5" s="32" t="s">
        <v>58</v>
      </c>
      <c r="AK5" s="32" t="s">
        <v>53</v>
      </c>
      <c r="AL5" s="19"/>
      <c r="AM5" s="21"/>
      <c r="AN5" s="21"/>
    </row>
    <row r="6">
      <c r="A6" s="22">
        <v>48.0</v>
      </c>
      <c r="B6" s="23" t="s">
        <v>38</v>
      </c>
      <c r="C6" s="23" t="s">
        <v>38</v>
      </c>
      <c r="D6" s="24" t="s">
        <v>83</v>
      </c>
      <c r="E6" s="24" t="s">
        <v>84</v>
      </c>
      <c r="F6" s="24" t="s">
        <v>85</v>
      </c>
      <c r="G6" s="23" t="s">
        <v>78</v>
      </c>
      <c r="H6" s="25" t="s">
        <v>43</v>
      </c>
      <c r="I6" s="25" t="s">
        <v>79</v>
      </c>
      <c r="J6" s="27" t="s">
        <v>79</v>
      </c>
      <c r="K6" s="25" t="s">
        <v>45</v>
      </c>
      <c r="L6" s="23" t="s">
        <v>46</v>
      </c>
      <c r="M6" s="23" t="s">
        <v>47</v>
      </c>
      <c r="N6" s="23" t="s">
        <v>48</v>
      </c>
      <c r="O6" s="24" t="s">
        <v>80</v>
      </c>
      <c r="P6" s="24" t="s">
        <v>81</v>
      </c>
      <c r="Q6" s="24" t="s">
        <v>82</v>
      </c>
      <c r="R6" s="29" t="str">
        <f t="shared" si="1"/>
        <v>#NAME?</v>
      </c>
      <c r="S6" s="25" t="str">
        <f t="shared" si="2"/>
        <v>⛔ Sin datos</v>
      </c>
      <c r="T6" s="25" t="str">
        <f t="shared" si="3"/>
        <v>Ya no cuenta con actualizaciones</v>
      </c>
      <c r="U6" s="23" t="s">
        <v>52</v>
      </c>
      <c r="V6" s="23" t="s">
        <v>52</v>
      </c>
      <c r="W6" s="23" t="s">
        <v>53</v>
      </c>
      <c r="X6" s="23" t="s">
        <v>54</v>
      </c>
      <c r="Y6" s="30">
        <f t="shared" si="4"/>
        <v>0.6666666667</v>
      </c>
      <c r="Z6" s="31" t="s">
        <v>66</v>
      </c>
      <c r="AA6" s="31" t="s">
        <v>67</v>
      </c>
      <c r="AB6" s="23" t="s">
        <v>56</v>
      </c>
      <c r="AC6" s="31" t="s">
        <v>69</v>
      </c>
      <c r="AD6" s="23" t="s">
        <v>53</v>
      </c>
      <c r="AE6" s="34"/>
      <c r="AF6" s="32" t="str">
        <f t="shared" si="6"/>
        <v>#REF!</v>
      </c>
      <c r="AG6" s="32" t="str">
        <f t="shared" si="7"/>
        <v>#REF!</v>
      </c>
      <c r="AH6" s="32" t="s">
        <v>53</v>
      </c>
      <c r="AI6" s="19"/>
      <c r="AJ6" s="32" t="s">
        <v>58</v>
      </c>
      <c r="AK6" s="32" t="s">
        <v>53</v>
      </c>
      <c r="AL6" s="19"/>
      <c r="AM6" s="33" t="str">
        <f t="shared" ref="AM6:AM16" si="9">VLOOKUP(D6,'Copia de vInfo 2'!A:A,1,FALSE)</f>
        <v>#REF!</v>
      </c>
      <c r="AN6" s="21"/>
    </row>
    <row r="7">
      <c r="A7" s="22">
        <v>172.0</v>
      </c>
      <c r="B7" s="23" t="s">
        <v>86</v>
      </c>
      <c r="C7" s="23" t="s">
        <v>86</v>
      </c>
      <c r="D7" s="24" t="s">
        <v>87</v>
      </c>
      <c r="E7" s="24" t="s">
        <v>88</v>
      </c>
      <c r="F7" s="24" t="s">
        <v>89</v>
      </c>
      <c r="G7" s="23" t="s">
        <v>78</v>
      </c>
      <c r="H7" s="25" t="str">
        <f>VLOOKUP(D7,'Inventario Plataformas OLD 260325'!I:Q,2,FALSE)</f>
        <v>#REF!</v>
      </c>
      <c r="I7" s="26" t="s">
        <v>90</v>
      </c>
      <c r="J7" s="27" t="s">
        <v>91</v>
      </c>
      <c r="K7" s="25" t="s">
        <v>45</v>
      </c>
      <c r="L7" s="23" t="s">
        <v>46</v>
      </c>
      <c r="M7" s="23" t="s">
        <v>47</v>
      </c>
      <c r="N7" s="23" t="s">
        <v>48</v>
      </c>
      <c r="O7" s="24" t="s">
        <v>80</v>
      </c>
      <c r="P7" s="24" t="s">
        <v>92</v>
      </c>
      <c r="Q7" s="24" t="s">
        <v>93</v>
      </c>
      <c r="R7" s="29" t="str">
        <f t="shared" si="1"/>
        <v>#NAME?</v>
      </c>
      <c r="S7" s="25" t="str">
        <f t="shared" si="2"/>
        <v>⛔ Sin datos</v>
      </c>
      <c r="T7" s="25" t="str">
        <f t="shared" si="3"/>
        <v>Ya no cuenta con actualizaciones</v>
      </c>
      <c r="U7" s="23" t="s">
        <v>52</v>
      </c>
      <c r="V7" s="23" t="s">
        <v>52</v>
      </c>
      <c r="W7" s="23" t="s">
        <v>53</v>
      </c>
      <c r="X7" s="23" t="s">
        <v>54</v>
      </c>
      <c r="Y7" s="30">
        <f t="shared" si="4"/>
        <v>0.6666666667</v>
      </c>
      <c r="Z7" s="31" t="s">
        <v>66</v>
      </c>
      <c r="AA7" s="31" t="s">
        <v>67</v>
      </c>
      <c r="AB7" s="31" t="s">
        <v>94</v>
      </c>
      <c r="AC7" s="31" t="s">
        <v>69</v>
      </c>
      <c r="AD7" s="23" t="s">
        <v>53</v>
      </c>
      <c r="AE7" s="32" t="str">
        <f t="shared" ref="AE7:AE9" si="10">VLOOKUP(E7,Falcon!B$2:C$558,2,FALSE)</f>
        <v>#REF!</v>
      </c>
      <c r="AF7" s="32" t="str">
        <f t="shared" si="6"/>
        <v>#REF!</v>
      </c>
      <c r="AG7" s="32" t="str">
        <f t="shared" si="7"/>
        <v>#REF!</v>
      </c>
      <c r="AH7" s="32" t="s">
        <v>53</v>
      </c>
      <c r="AI7" s="19"/>
      <c r="AJ7" s="32" t="s">
        <v>69</v>
      </c>
      <c r="AK7" s="32" t="s">
        <v>53</v>
      </c>
      <c r="AL7" s="19"/>
      <c r="AM7" s="33" t="str">
        <f t="shared" si="9"/>
        <v>#REF!</v>
      </c>
      <c r="AN7" s="21"/>
    </row>
    <row r="8">
      <c r="A8" s="22">
        <v>189.0</v>
      </c>
      <c r="B8" s="23" t="s">
        <v>86</v>
      </c>
      <c r="C8" s="23" t="s">
        <v>86</v>
      </c>
      <c r="D8" s="24" t="s">
        <v>95</v>
      </c>
      <c r="E8" s="24" t="s">
        <v>96</v>
      </c>
      <c r="F8" s="24" t="s">
        <v>97</v>
      </c>
      <c r="G8" s="23" t="s">
        <v>42</v>
      </c>
      <c r="H8" s="26" t="s">
        <v>98</v>
      </c>
      <c r="I8" s="26" t="s">
        <v>98</v>
      </c>
      <c r="J8" s="27" t="s">
        <v>99</v>
      </c>
      <c r="K8" s="25" t="s">
        <v>45</v>
      </c>
      <c r="L8" s="23" t="s">
        <v>46</v>
      </c>
      <c r="M8" s="23" t="s">
        <v>47</v>
      </c>
      <c r="N8" s="23" t="s">
        <v>48</v>
      </c>
      <c r="O8" s="24" t="s">
        <v>80</v>
      </c>
      <c r="P8" s="24" t="s">
        <v>100</v>
      </c>
      <c r="Q8" s="24" t="s">
        <v>101</v>
      </c>
      <c r="R8" s="29" t="str">
        <f t="shared" si="1"/>
        <v>#NAME?</v>
      </c>
      <c r="S8" s="25" t="str">
        <f t="shared" si="2"/>
        <v>⛔ Sin datos</v>
      </c>
      <c r="T8" s="25" t="str">
        <f t="shared" si="3"/>
        <v>Ya no cuenta con actualizaciones</v>
      </c>
      <c r="U8" s="23" t="s">
        <v>52</v>
      </c>
      <c r="V8" s="23" t="s">
        <v>52</v>
      </c>
      <c r="W8" s="23" t="s">
        <v>53</v>
      </c>
      <c r="X8" s="23" t="s">
        <v>48</v>
      </c>
      <c r="Y8" s="30">
        <f t="shared" si="4"/>
        <v>0.6666666667</v>
      </c>
      <c r="Z8" s="31" t="s">
        <v>66</v>
      </c>
      <c r="AA8" s="23" t="s">
        <v>67</v>
      </c>
      <c r="AB8" s="23" t="s">
        <v>102</v>
      </c>
      <c r="AC8" s="31" t="s">
        <v>103</v>
      </c>
      <c r="AD8" s="23" t="s">
        <v>53</v>
      </c>
      <c r="AE8" s="32" t="str">
        <f t="shared" si="10"/>
        <v>#REF!</v>
      </c>
      <c r="AF8" s="32" t="str">
        <f t="shared" si="6"/>
        <v>#REF!</v>
      </c>
      <c r="AG8" s="32" t="str">
        <f>VLOOKUP(D8,Central!B$2:C$217,2,FALSE)</f>
        <v>#REF!</v>
      </c>
      <c r="AH8" s="32" t="s">
        <v>53</v>
      </c>
      <c r="AI8" s="19"/>
      <c r="AJ8" s="33" t="s">
        <v>103</v>
      </c>
      <c r="AK8" s="32" t="s">
        <v>53</v>
      </c>
      <c r="AL8" s="19"/>
      <c r="AM8" s="33" t="str">
        <f t="shared" si="9"/>
        <v>#REF!</v>
      </c>
      <c r="AN8" s="35" t="s">
        <v>52</v>
      </c>
    </row>
    <row r="9">
      <c r="A9" s="22">
        <v>216.0</v>
      </c>
      <c r="B9" s="23" t="s">
        <v>86</v>
      </c>
      <c r="C9" s="23" t="s">
        <v>86</v>
      </c>
      <c r="D9" s="24" t="s">
        <v>104</v>
      </c>
      <c r="E9" s="24" t="s">
        <v>105</v>
      </c>
      <c r="F9" s="24" t="s">
        <v>106</v>
      </c>
      <c r="G9" s="23" t="s">
        <v>107</v>
      </c>
      <c r="H9" s="25" t="str">
        <f>VLOOKUP(D9,'Inventario Plataformas OLD 260325'!I:Q,2,FALSE)</f>
        <v>#REF!</v>
      </c>
      <c r="I9" s="26" t="s">
        <v>90</v>
      </c>
      <c r="J9" s="27" t="s">
        <v>91</v>
      </c>
      <c r="K9" s="25" t="s">
        <v>45</v>
      </c>
      <c r="L9" s="23" t="s">
        <v>46</v>
      </c>
      <c r="M9" s="23" t="s">
        <v>47</v>
      </c>
      <c r="N9" s="23" t="s">
        <v>48</v>
      </c>
      <c r="O9" s="24" t="s">
        <v>80</v>
      </c>
      <c r="P9" s="24" t="s">
        <v>92</v>
      </c>
      <c r="Q9" s="24" t="s">
        <v>93</v>
      </c>
      <c r="R9" s="29" t="str">
        <f t="shared" si="1"/>
        <v>#NAME?</v>
      </c>
      <c r="S9" s="25" t="str">
        <f t="shared" si="2"/>
        <v>⛔ Sin datos</v>
      </c>
      <c r="T9" s="25" t="str">
        <f t="shared" si="3"/>
        <v>Ya no cuenta con actualizaciones</v>
      </c>
      <c r="U9" s="23" t="s">
        <v>52</v>
      </c>
      <c r="V9" s="23" t="s">
        <v>52</v>
      </c>
      <c r="W9" s="23" t="s">
        <v>53</v>
      </c>
      <c r="X9" s="23" t="s">
        <v>48</v>
      </c>
      <c r="Y9" s="30">
        <f t="shared" si="4"/>
        <v>0.6666666667</v>
      </c>
      <c r="Z9" s="31" t="s">
        <v>66</v>
      </c>
      <c r="AA9" s="31" t="s">
        <v>67</v>
      </c>
      <c r="AB9" s="31" t="s">
        <v>94</v>
      </c>
      <c r="AC9" s="31" t="s">
        <v>69</v>
      </c>
      <c r="AD9" s="23" t="s">
        <v>53</v>
      </c>
      <c r="AE9" s="32" t="str">
        <f t="shared" si="10"/>
        <v>#REF!</v>
      </c>
      <c r="AF9" s="32" t="str">
        <f t="shared" si="6"/>
        <v>#REF!</v>
      </c>
      <c r="AG9" s="32" t="str">
        <f t="shared" ref="AG9:AG13" si="11">VLOOKUP(E9,Central!B$2:C$217,2,FALSE)</f>
        <v>#REF!</v>
      </c>
      <c r="AH9" s="32" t="s">
        <v>53</v>
      </c>
      <c r="AI9" s="19"/>
      <c r="AJ9" s="32" t="s">
        <v>69</v>
      </c>
      <c r="AK9" s="32" t="s">
        <v>53</v>
      </c>
      <c r="AL9" s="19"/>
      <c r="AM9" s="33" t="str">
        <f t="shared" si="9"/>
        <v>#REF!</v>
      </c>
      <c r="AN9" s="21"/>
    </row>
    <row r="10">
      <c r="A10" s="8">
        <v>235.0</v>
      </c>
      <c r="B10" s="9" t="s">
        <v>86</v>
      </c>
      <c r="C10" s="9" t="s">
        <v>86</v>
      </c>
      <c r="D10" s="10" t="s">
        <v>108</v>
      </c>
      <c r="E10" s="10" t="s">
        <v>109</v>
      </c>
      <c r="F10" s="10" t="s">
        <v>110</v>
      </c>
      <c r="G10" s="9" t="s">
        <v>78</v>
      </c>
      <c r="H10" s="11" t="s">
        <v>43</v>
      </c>
      <c r="I10" s="13" t="s">
        <v>111</v>
      </c>
      <c r="J10" s="12" t="s">
        <v>112</v>
      </c>
      <c r="K10" s="11" t="s">
        <v>45</v>
      </c>
      <c r="L10" s="9" t="s">
        <v>46</v>
      </c>
      <c r="M10" s="9" t="s">
        <v>47</v>
      </c>
      <c r="N10" s="9" t="s">
        <v>48</v>
      </c>
      <c r="O10" s="13" t="s">
        <v>49</v>
      </c>
      <c r="P10" s="36" t="s">
        <v>64</v>
      </c>
      <c r="Q10" s="10" t="s">
        <v>65</v>
      </c>
      <c r="R10" s="14" t="str">
        <f t="shared" si="1"/>
        <v>#NAME?</v>
      </c>
      <c r="S10" s="11" t="str">
        <f t="shared" si="2"/>
        <v>⛔ Sin datos</v>
      </c>
      <c r="T10" s="11" t="str">
        <f t="shared" si="3"/>
        <v>Ya no cuenta con actualizaciones</v>
      </c>
      <c r="U10" s="9" t="s">
        <v>52</v>
      </c>
      <c r="V10" s="9" t="s">
        <v>53</v>
      </c>
      <c r="W10" s="9" t="s">
        <v>53</v>
      </c>
      <c r="X10" s="9" t="s">
        <v>48</v>
      </c>
      <c r="Y10" s="15">
        <f t="shared" si="4"/>
        <v>0.3333333333</v>
      </c>
      <c r="Z10" s="9" t="s">
        <v>113</v>
      </c>
      <c r="AA10" s="17">
        <v>45930.0</v>
      </c>
      <c r="AB10" s="9" t="s">
        <v>102</v>
      </c>
      <c r="AC10" s="9" t="s">
        <v>103</v>
      </c>
      <c r="AD10" s="9" t="s">
        <v>52</v>
      </c>
      <c r="AE10" s="18" t="str">
        <f t="shared" ref="AE10:AE11" si="12">VLOOKUP(D10,Falcon!B$2:C$558,2,FALSE)</f>
        <v>#REF!</v>
      </c>
      <c r="AF10" s="18" t="str">
        <f t="shared" si="6"/>
        <v>#REF!</v>
      </c>
      <c r="AG10" s="18" t="str">
        <f t="shared" si="11"/>
        <v>#REF!</v>
      </c>
      <c r="AH10" s="18" t="s">
        <v>53</v>
      </c>
      <c r="AI10" s="19"/>
      <c r="AJ10" s="20" t="s">
        <v>103</v>
      </c>
      <c r="AK10" s="18" t="s">
        <v>52</v>
      </c>
      <c r="AL10" s="18" t="s">
        <v>59</v>
      </c>
      <c r="AM10" s="20" t="str">
        <f t="shared" si="9"/>
        <v>#REF!</v>
      </c>
      <c r="AN10" s="37" t="s">
        <v>114</v>
      </c>
    </row>
    <row r="11">
      <c r="A11" s="8">
        <v>236.0</v>
      </c>
      <c r="B11" s="9" t="s">
        <v>86</v>
      </c>
      <c r="C11" s="9" t="s">
        <v>86</v>
      </c>
      <c r="D11" s="10" t="s">
        <v>115</v>
      </c>
      <c r="E11" s="10" t="s">
        <v>116</v>
      </c>
      <c r="F11" s="10" t="s">
        <v>117</v>
      </c>
      <c r="G11" s="9" t="s">
        <v>107</v>
      </c>
      <c r="H11" s="11" t="s">
        <v>43</v>
      </c>
      <c r="I11" s="13" t="s">
        <v>111</v>
      </c>
      <c r="J11" s="12" t="s">
        <v>112</v>
      </c>
      <c r="K11" s="11" t="s">
        <v>45</v>
      </c>
      <c r="L11" s="9" t="s">
        <v>46</v>
      </c>
      <c r="M11" s="9" t="s">
        <v>47</v>
      </c>
      <c r="N11" s="9" t="s">
        <v>48</v>
      </c>
      <c r="O11" s="11" t="s">
        <v>49</v>
      </c>
      <c r="P11" s="38" t="s">
        <v>64</v>
      </c>
      <c r="Q11" s="10" t="s">
        <v>65</v>
      </c>
      <c r="R11" s="14" t="str">
        <f t="shared" si="1"/>
        <v>#NAME?</v>
      </c>
      <c r="S11" s="11" t="str">
        <f t="shared" si="2"/>
        <v>⛔ Sin datos</v>
      </c>
      <c r="T11" s="11" t="str">
        <f t="shared" si="3"/>
        <v>Ya no cuenta con actualizaciones</v>
      </c>
      <c r="U11" s="9" t="s">
        <v>52</v>
      </c>
      <c r="V11" s="9" t="s">
        <v>53</v>
      </c>
      <c r="W11" s="9" t="s">
        <v>53</v>
      </c>
      <c r="X11" s="9" t="s">
        <v>48</v>
      </c>
      <c r="Y11" s="15">
        <f t="shared" si="4"/>
        <v>0.3333333333</v>
      </c>
      <c r="Z11" s="9" t="s">
        <v>113</v>
      </c>
      <c r="AA11" s="17">
        <v>45930.0</v>
      </c>
      <c r="AB11" s="9" t="s">
        <v>102</v>
      </c>
      <c r="AC11" s="9" t="s">
        <v>103</v>
      </c>
      <c r="AD11" s="9" t="s">
        <v>52</v>
      </c>
      <c r="AE11" s="18" t="str">
        <f t="shared" si="12"/>
        <v>#REF!</v>
      </c>
      <c r="AF11" s="18" t="str">
        <f t="shared" si="6"/>
        <v>#REF!</v>
      </c>
      <c r="AG11" s="18" t="str">
        <f t="shared" si="11"/>
        <v>#REF!</v>
      </c>
      <c r="AH11" s="18" t="s">
        <v>53</v>
      </c>
      <c r="AI11" s="19"/>
      <c r="AJ11" s="20" t="s">
        <v>103</v>
      </c>
      <c r="AK11" s="18" t="s">
        <v>52</v>
      </c>
      <c r="AL11" s="18" t="s">
        <v>59</v>
      </c>
      <c r="AM11" s="20" t="str">
        <f t="shared" si="9"/>
        <v>#REF!</v>
      </c>
      <c r="AN11" s="37" t="s">
        <v>114</v>
      </c>
    </row>
    <row r="12">
      <c r="A12" s="8">
        <v>240.0</v>
      </c>
      <c r="B12" s="9" t="s">
        <v>86</v>
      </c>
      <c r="C12" s="9" t="s">
        <v>86</v>
      </c>
      <c r="D12" s="10" t="s">
        <v>118</v>
      </c>
      <c r="E12" s="10" t="s">
        <v>119</v>
      </c>
      <c r="F12" s="10" t="s">
        <v>120</v>
      </c>
      <c r="G12" s="9" t="s">
        <v>78</v>
      </c>
      <c r="H12" s="11" t="s">
        <v>43</v>
      </c>
      <c r="I12" s="13" t="s">
        <v>111</v>
      </c>
      <c r="J12" s="12" t="s">
        <v>112</v>
      </c>
      <c r="K12" s="11" t="s">
        <v>45</v>
      </c>
      <c r="L12" s="9" t="s">
        <v>46</v>
      </c>
      <c r="M12" s="9" t="s">
        <v>47</v>
      </c>
      <c r="N12" s="9" t="s">
        <v>48</v>
      </c>
      <c r="O12" s="13" t="s">
        <v>49</v>
      </c>
      <c r="P12" s="36" t="s">
        <v>121</v>
      </c>
      <c r="Q12" s="10" t="s">
        <v>122</v>
      </c>
      <c r="R12" s="14" t="str">
        <f t="shared" si="1"/>
        <v>#NAME?</v>
      </c>
      <c r="S12" s="11" t="str">
        <f t="shared" si="2"/>
        <v>⛔ Sin datos</v>
      </c>
      <c r="T12" s="11" t="str">
        <f t="shared" si="3"/>
        <v>Ya no cuenta con actualizaciones</v>
      </c>
      <c r="U12" s="9" t="s">
        <v>52</v>
      </c>
      <c r="V12" s="9" t="s">
        <v>53</v>
      </c>
      <c r="W12" s="9" t="s">
        <v>53</v>
      </c>
      <c r="X12" s="9" t="s">
        <v>48</v>
      </c>
      <c r="Y12" s="15">
        <f t="shared" si="4"/>
        <v>0.3333333333</v>
      </c>
      <c r="Z12" s="9" t="s">
        <v>113</v>
      </c>
      <c r="AA12" s="17">
        <v>45930.0</v>
      </c>
      <c r="AB12" s="9" t="s">
        <v>102</v>
      </c>
      <c r="AC12" s="9" t="s">
        <v>103</v>
      </c>
      <c r="AD12" s="9" t="s">
        <v>52</v>
      </c>
      <c r="AE12" s="18" t="str">
        <f>VLOOKUP(E12,Falcon!B$2:C$558,2,FALSE)</f>
        <v>#REF!</v>
      </c>
      <c r="AF12" s="18" t="str">
        <f t="shared" si="6"/>
        <v>#REF!</v>
      </c>
      <c r="AG12" s="18" t="str">
        <f t="shared" si="11"/>
        <v>#REF!</v>
      </c>
      <c r="AH12" s="18" t="s">
        <v>53</v>
      </c>
      <c r="AI12" s="19"/>
      <c r="AJ12" s="20" t="s">
        <v>103</v>
      </c>
      <c r="AK12" s="18" t="s">
        <v>52</v>
      </c>
      <c r="AL12" s="18" t="s">
        <v>59</v>
      </c>
      <c r="AM12" s="20" t="str">
        <f t="shared" si="9"/>
        <v>#REF!</v>
      </c>
      <c r="AN12" s="37" t="s">
        <v>114</v>
      </c>
    </row>
    <row r="13">
      <c r="A13" s="8">
        <v>342.0</v>
      </c>
      <c r="B13" s="9" t="s">
        <v>123</v>
      </c>
      <c r="C13" s="9" t="s">
        <v>124</v>
      </c>
      <c r="D13" s="10" t="s">
        <v>125</v>
      </c>
      <c r="E13" s="10" t="s">
        <v>126</v>
      </c>
      <c r="F13" s="10" t="s">
        <v>127</v>
      </c>
      <c r="G13" s="9" t="s">
        <v>42</v>
      </c>
      <c r="H13" s="11" t="s">
        <v>43</v>
      </c>
      <c r="I13" s="11" t="s">
        <v>128</v>
      </c>
      <c r="J13" s="12" t="s">
        <v>129</v>
      </c>
      <c r="K13" s="11" t="s">
        <v>45</v>
      </c>
      <c r="L13" s="9" t="s">
        <v>46</v>
      </c>
      <c r="M13" s="9" t="s">
        <v>47</v>
      </c>
      <c r="N13" s="9" t="s">
        <v>48</v>
      </c>
      <c r="O13" s="13" t="s">
        <v>49</v>
      </c>
      <c r="P13" s="11" t="s">
        <v>50</v>
      </c>
      <c r="Q13" s="10" t="s">
        <v>51</v>
      </c>
      <c r="R13" s="14" t="str">
        <f t="shared" si="1"/>
        <v>#NAME?</v>
      </c>
      <c r="S13" s="11" t="str">
        <f t="shared" si="2"/>
        <v>⛔ Sin datos</v>
      </c>
      <c r="T13" s="11" t="str">
        <f t="shared" si="3"/>
        <v>Ya no cuenta con actualizaciones</v>
      </c>
      <c r="U13" s="9" t="s">
        <v>52</v>
      </c>
      <c r="V13" s="39" t="s">
        <v>52</v>
      </c>
      <c r="W13" s="9" t="s">
        <v>53</v>
      </c>
      <c r="X13" s="9" t="s">
        <v>48</v>
      </c>
      <c r="Y13" s="15">
        <f t="shared" si="4"/>
        <v>0.6666666667</v>
      </c>
      <c r="Z13" s="16" t="s">
        <v>55</v>
      </c>
      <c r="AA13" s="17">
        <v>45930.0</v>
      </c>
      <c r="AB13" s="9" t="s">
        <v>56</v>
      </c>
      <c r="AC13" s="16" t="s">
        <v>57</v>
      </c>
      <c r="AD13" s="9" t="s">
        <v>53</v>
      </c>
      <c r="AE13" s="18" t="str">
        <f t="shared" ref="AE13:AE17" si="13">VLOOKUP(D13,Falcon!B$2:C$558,2,FALSE)</f>
        <v>#REF!</v>
      </c>
      <c r="AF13" s="18" t="str">
        <f t="shared" si="6"/>
        <v>#REF!</v>
      </c>
      <c r="AG13" s="18" t="str">
        <f t="shared" si="11"/>
        <v>#REF!</v>
      </c>
      <c r="AH13" s="18" t="s">
        <v>53</v>
      </c>
      <c r="AI13" s="19"/>
      <c r="AJ13" s="9" t="s">
        <v>58</v>
      </c>
      <c r="AK13" s="18" t="s">
        <v>52</v>
      </c>
      <c r="AL13" s="18" t="s">
        <v>59</v>
      </c>
      <c r="AM13" s="20" t="str">
        <f t="shared" si="9"/>
        <v>#REF!</v>
      </c>
      <c r="AN13" s="37" t="s">
        <v>114</v>
      </c>
    </row>
    <row r="14">
      <c r="A14" s="8">
        <v>372.0</v>
      </c>
      <c r="B14" s="9" t="s">
        <v>123</v>
      </c>
      <c r="C14" s="9" t="s">
        <v>124</v>
      </c>
      <c r="D14" s="10" t="s">
        <v>130</v>
      </c>
      <c r="E14" s="10" t="s">
        <v>130</v>
      </c>
      <c r="F14" s="10" t="s">
        <v>131</v>
      </c>
      <c r="G14" s="9" t="s">
        <v>42</v>
      </c>
      <c r="H14" s="11" t="s">
        <v>132</v>
      </c>
      <c r="I14" s="11" t="s">
        <v>129</v>
      </c>
      <c r="J14" s="12" t="s">
        <v>129</v>
      </c>
      <c r="K14" s="11" t="s">
        <v>45</v>
      </c>
      <c r="L14" s="9" t="s">
        <v>46</v>
      </c>
      <c r="M14" s="9" t="s">
        <v>47</v>
      </c>
      <c r="N14" s="9" t="s">
        <v>48</v>
      </c>
      <c r="O14" s="10" t="s">
        <v>80</v>
      </c>
      <c r="P14" s="10" t="s">
        <v>133</v>
      </c>
      <c r="Q14" s="10" t="s">
        <v>134</v>
      </c>
      <c r="R14" s="14" t="str">
        <f t="shared" si="1"/>
        <v>#NAME?</v>
      </c>
      <c r="S14" s="11" t="str">
        <f t="shared" si="2"/>
        <v>⛔ Sin datos</v>
      </c>
      <c r="T14" s="11" t="str">
        <f t="shared" si="3"/>
        <v>Ya no cuenta con actualizaciones</v>
      </c>
      <c r="U14" s="9" t="s">
        <v>52</v>
      </c>
      <c r="V14" s="39" t="s">
        <v>52</v>
      </c>
      <c r="W14" s="9" t="s">
        <v>53</v>
      </c>
      <c r="X14" s="9" t="s">
        <v>48</v>
      </c>
      <c r="Y14" s="15">
        <f t="shared" si="4"/>
        <v>0.6666666667</v>
      </c>
      <c r="Z14" s="16" t="s">
        <v>55</v>
      </c>
      <c r="AA14" s="17">
        <v>45930.0</v>
      </c>
      <c r="AB14" s="9" t="s">
        <v>56</v>
      </c>
      <c r="AC14" s="16" t="s">
        <v>57</v>
      </c>
      <c r="AD14" s="9" t="s">
        <v>53</v>
      </c>
      <c r="AE14" s="18" t="str">
        <f t="shared" si="13"/>
        <v>#REF!</v>
      </c>
      <c r="AF14" s="18" t="str">
        <f t="shared" si="6"/>
        <v>#REF!</v>
      </c>
      <c r="AG14" s="18" t="str">
        <f t="shared" ref="AG14:AG17" si="14">VLOOKUP(D14,Central!B$2:C$217,2,FALSE)</f>
        <v>#REF!</v>
      </c>
      <c r="AH14" s="18" t="s">
        <v>53</v>
      </c>
      <c r="AI14" s="19"/>
      <c r="AJ14" s="18" t="s">
        <v>58</v>
      </c>
      <c r="AK14" s="18" t="s">
        <v>52</v>
      </c>
      <c r="AL14" s="18" t="s">
        <v>59</v>
      </c>
      <c r="AM14" s="20" t="str">
        <f t="shared" si="9"/>
        <v>#REF!</v>
      </c>
      <c r="AN14" s="37" t="s">
        <v>114</v>
      </c>
    </row>
    <row r="15">
      <c r="A15" s="8">
        <v>373.0</v>
      </c>
      <c r="B15" s="9" t="s">
        <v>123</v>
      </c>
      <c r="C15" s="9" t="s">
        <v>124</v>
      </c>
      <c r="D15" s="10" t="s">
        <v>135</v>
      </c>
      <c r="E15" s="10" t="s">
        <v>135</v>
      </c>
      <c r="F15" s="10" t="s">
        <v>136</v>
      </c>
      <c r="G15" s="9" t="s">
        <v>42</v>
      </c>
      <c r="H15" s="11" t="s">
        <v>132</v>
      </c>
      <c r="I15" s="11" t="s">
        <v>129</v>
      </c>
      <c r="J15" s="12" t="s">
        <v>129</v>
      </c>
      <c r="K15" s="11" t="s">
        <v>45</v>
      </c>
      <c r="L15" s="9" t="s">
        <v>46</v>
      </c>
      <c r="M15" s="9" t="s">
        <v>47</v>
      </c>
      <c r="N15" s="9" t="s">
        <v>48</v>
      </c>
      <c r="O15" s="10" t="s">
        <v>80</v>
      </c>
      <c r="P15" s="10" t="s">
        <v>133</v>
      </c>
      <c r="Q15" s="10" t="s">
        <v>134</v>
      </c>
      <c r="R15" s="14" t="str">
        <f t="shared" si="1"/>
        <v>#NAME?</v>
      </c>
      <c r="S15" s="11" t="str">
        <f t="shared" si="2"/>
        <v>⛔ Sin datos</v>
      </c>
      <c r="T15" s="11" t="str">
        <f t="shared" si="3"/>
        <v>Ya no cuenta con actualizaciones</v>
      </c>
      <c r="U15" s="9" t="s">
        <v>52</v>
      </c>
      <c r="V15" s="39" t="s">
        <v>52</v>
      </c>
      <c r="W15" s="9" t="s">
        <v>53</v>
      </c>
      <c r="X15" s="9" t="s">
        <v>48</v>
      </c>
      <c r="Y15" s="15">
        <f t="shared" si="4"/>
        <v>0.6666666667</v>
      </c>
      <c r="Z15" s="16" t="s">
        <v>55</v>
      </c>
      <c r="AA15" s="17">
        <v>45930.0</v>
      </c>
      <c r="AB15" s="9" t="s">
        <v>56</v>
      </c>
      <c r="AC15" s="16" t="s">
        <v>57</v>
      </c>
      <c r="AD15" s="9" t="s">
        <v>53</v>
      </c>
      <c r="AE15" s="18" t="str">
        <f t="shared" si="13"/>
        <v>#REF!</v>
      </c>
      <c r="AF15" s="18" t="str">
        <f t="shared" si="6"/>
        <v>#REF!</v>
      </c>
      <c r="AG15" s="18" t="str">
        <f t="shared" si="14"/>
        <v>#REF!</v>
      </c>
      <c r="AH15" s="18" t="s">
        <v>53</v>
      </c>
      <c r="AI15" s="19"/>
      <c r="AJ15" s="18" t="s">
        <v>58</v>
      </c>
      <c r="AK15" s="18" t="s">
        <v>52</v>
      </c>
      <c r="AL15" s="18" t="s">
        <v>59</v>
      </c>
      <c r="AM15" s="20" t="str">
        <f t="shared" si="9"/>
        <v>#REF!</v>
      </c>
      <c r="AN15" s="37" t="s">
        <v>114</v>
      </c>
    </row>
    <row r="16">
      <c r="A16" s="8">
        <v>374.0</v>
      </c>
      <c r="B16" s="9" t="s">
        <v>123</v>
      </c>
      <c r="C16" s="9" t="s">
        <v>124</v>
      </c>
      <c r="D16" s="10" t="s">
        <v>137</v>
      </c>
      <c r="E16" s="10" t="s">
        <v>137</v>
      </c>
      <c r="F16" s="10" t="s">
        <v>138</v>
      </c>
      <c r="G16" s="9" t="s">
        <v>42</v>
      </c>
      <c r="H16" s="11" t="s">
        <v>132</v>
      </c>
      <c r="I16" s="11" t="s">
        <v>129</v>
      </c>
      <c r="J16" s="12" t="s">
        <v>129</v>
      </c>
      <c r="K16" s="11" t="s">
        <v>45</v>
      </c>
      <c r="L16" s="9" t="s">
        <v>46</v>
      </c>
      <c r="M16" s="9" t="s">
        <v>47</v>
      </c>
      <c r="N16" s="9" t="s">
        <v>48</v>
      </c>
      <c r="O16" s="10" t="s">
        <v>80</v>
      </c>
      <c r="P16" s="10" t="s">
        <v>133</v>
      </c>
      <c r="Q16" s="10" t="s">
        <v>134</v>
      </c>
      <c r="R16" s="14" t="str">
        <f t="shared" si="1"/>
        <v>#NAME?</v>
      </c>
      <c r="S16" s="11" t="str">
        <f t="shared" si="2"/>
        <v>⛔ Sin datos</v>
      </c>
      <c r="T16" s="11" t="str">
        <f t="shared" si="3"/>
        <v>Ya no cuenta con actualizaciones</v>
      </c>
      <c r="U16" s="9" t="s">
        <v>52</v>
      </c>
      <c r="V16" s="39" t="s">
        <v>52</v>
      </c>
      <c r="W16" s="9" t="s">
        <v>53</v>
      </c>
      <c r="X16" s="9" t="s">
        <v>48</v>
      </c>
      <c r="Y16" s="15">
        <f t="shared" si="4"/>
        <v>0.6666666667</v>
      </c>
      <c r="Z16" s="16" t="s">
        <v>55</v>
      </c>
      <c r="AA16" s="17">
        <v>45930.0</v>
      </c>
      <c r="AB16" s="9" t="s">
        <v>56</v>
      </c>
      <c r="AC16" s="16" t="s">
        <v>57</v>
      </c>
      <c r="AD16" s="9" t="s">
        <v>53</v>
      </c>
      <c r="AE16" s="18" t="str">
        <f t="shared" si="13"/>
        <v>#REF!</v>
      </c>
      <c r="AF16" s="18" t="str">
        <f t="shared" si="6"/>
        <v>#REF!</v>
      </c>
      <c r="AG16" s="18" t="str">
        <f t="shared" si="14"/>
        <v>#REF!</v>
      </c>
      <c r="AH16" s="18" t="s">
        <v>53</v>
      </c>
      <c r="AI16" s="19"/>
      <c r="AJ16" s="18" t="s">
        <v>58</v>
      </c>
      <c r="AK16" s="18" t="s">
        <v>52</v>
      </c>
      <c r="AL16" s="18" t="s">
        <v>59</v>
      </c>
      <c r="AM16" s="20" t="str">
        <f t="shared" si="9"/>
        <v>#REF!</v>
      </c>
      <c r="AN16" s="37" t="s">
        <v>114</v>
      </c>
    </row>
    <row r="17">
      <c r="A17" s="8">
        <v>375.0</v>
      </c>
      <c r="B17" s="9" t="s">
        <v>123</v>
      </c>
      <c r="C17" s="9" t="s">
        <v>124</v>
      </c>
      <c r="D17" s="10" t="s">
        <v>139</v>
      </c>
      <c r="E17" s="10" t="s">
        <v>139</v>
      </c>
      <c r="F17" s="10" t="s">
        <v>140</v>
      </c>
      <c r="G17" s="9" t="s">
        <v>42</v>
      </c>
      <c r="H17" s="11" t="s">
        <v>132</v>
      </c>
      <c r="I17" s="11" t="s">
        <v>129</v>
      </c>
      <c r="J17" s="12" t="s">
        <v>129</v>
      </c>
      <c r="K17" s="11" t="s">
        <v>45</v>
      </c>
      <c r="L17" s="9" t="s">
        <v>46</v>
      </c>
      <c r="M17" s="9" t="s">
        <v>47</v>
      </c>
      <c r="N17" s="9" t="s">
        <v>48</v>
      </c>
      <c r="O17" s="10" t="s">
        <v>80</v>
      </c>
      <c r="P17" s="10" t="s">
        <v>133</v>
      </c>
      <c r="Q17" s="10" t="s">
        <v>134</v>
      </c>
      <c r="R17" s="14" t="str">
        <f t="shared" si="1"/>
        <v>#NAME?</v>
      </c>
      <c r="S17" s="11" t="str">
        <f t="shared" si="2"/>
        <v>⛔ Sin datos</v>
      </c>
      <c r="T17" s="11" t="str">
        <f t="shared" si="3"/>
        <v>Ya no cuenta con actualizaciones</v>
      </c>
      <c r="U17" s="9" t="s">
        <v>52</v>
      </c>
      <c r="V17" s="39" t="s">
        <v>52</v>
      </c>
      <c r="W17" s="9" t="s">
        <v>53</v>
      </c>
      <c r="X17" s="9" t="s">
        <v>48</v>
      </c>
      <c r="Y17" s="15">
        <f t="shared" si="4"/>
        <v>0.6666666667</v>
      </c>
      <c r="Z17" s="16" t="s">
        <v>55</v>
      </c>
      <c r="AA17" s="17">
        <v>45930.0</v>
      </c>
      <c r="AB17" s="9" t="s">
        <v>56</v>
      </c>
      <c r="AC17" s="16" t="s">
        <v>57</v>
      </c>
      <c r="AD17" s="9" t="s">
        <v>53</v>
      </c>
      <c r="AE17" s="18" t="str">
        <f t="shared" si="13"/>
        <v>#REF!</v>
      </c>
      <c r="AF17" s="18" t="str">
        <f t="shared" si="6"/>
        <v>#REF!</v>
      </c>
      <c r="AG17" s="18" t="str">
        <f t="shared" si="14"/>
        <v>#REF!</v>
      </c>
      <c r="AH17" s="18" t="s">
        <v>53</v>
      </c>
      <c r="AI17" s="19"/>
      <c r="AJ17" s="18" t="s">
        <v>58</v>
      </c>
      <c r="AK17" s="18" t="s">
        <v>52</v>
      </c>
      <c r="AL17" s="18" t="s">
        <v>59</v>
      </c>
      <c r="AM17" s="21"/>
      <c r="AN17" s="37" t="s">
        <v>114</v>
      </c>
    </row>
    <row r="18">
      <c r="A18" s="8">
        <v>376.0</v>
      </c>
      <c r="B18" s="9" t="s">
        <v>123</v>
      </c>
      <c r="C18" s="9" t="s">
        <v>124</v>
      </c>
      <c r="D18" s="10" t="s">
        <v>141</v>
      </c>
      <c r="E18" s="10" t="s">
        <v>141</v>
      </c>
      <c r="F18" s="10" t="s">
        <v>142</v>
      </c>
      <c r="G18" s="9" t="s">
        <v>42</v>
      </c>
      <c r="H18" s="11" t="s">
        <v>132</v>
      </c>
      <c r="I18" s="11" t="s">
        <v>129</v>
      </c>
      <c r="J18" s="12" t="s">
        <v>129</v>
      </c>
      <c r="K18" s="11" t="s">
        <v>45</v>
      </c>
      <c r="L18" s="9" t="s">
        <v>46</v>
      </c>
      <c r="M18" s="9" t="s">
        <v>47</v>
      </c>
      <c r="N18" s="9" t="s">
        <v>48</v>
      </c>
      <c r="O18" s="10" t="s">
        <v>80</v>
      </c>
      <c r="P18" s="10" t="s">
        <v>133</v>
      </c>
      <c r="Q18" s="10" t="s">
        <v>134</v>
      </c>
      <c r="R18" s="14" t="str">
        <f t="shared" si="1"/>
        <v>#NAME?</v>
      </c>
      <c r="S18" s="11" t="str">
        <f t="shared" si="2"/>
        <v>⛔ Sin datos</v>
      </c>
      <c r="T18" s="11" t="str">
        <f t="shared" si="3"/>
        <v>Ya no cuenta con actualizaciones</v>
      </c>
      <c r="U18" s="9" t="s">
        <v>52</v>
      </c>
      <c r="V18" s="39" t="s">
        <v>52</v>
      </c>
      <c r="W18" s="9" t="s">
        <v>53</v>
      </c>
      <c r="X18" s="9" t="s">
        <v>48</v>
      </c>
      <c r="Y18" s="15">
        <f t="shared" si="4"/>
        <v>0.6666666667</v>
      </c>
      <c r="Z18" s="16" t="s">
        <v>55</v>
      </c>
      <c r="AA18" s="17">
        <v>45930.0</v>
      </c>
      <c r="AB18" s="9" t="s">
        <v>56</v>
      </c>
      <c r="AC18" s="16" t="s">
        <v>57</v>
      </c>
      <c r="AD18" s="9" t="s">
        <v>53</v>
      </c>
      <c r="AE18" s="18" t="str">
        <f t="shared" ref="AE18:AE21" si="15">VLOOKUP(E18,Falcon!B$2:C$558,2,FALSE)</f>
        <v>#REF!</v>
      </c>
      <c r="AF18" s="18" t="str">
        <f t="shared" si="6"/>
        <v>#REF!</v>
      </c>
      <c r="AG18" s="18" t="str">
        <f t="shared" ref="AG18:AG55" si="16">VLOOKUP(E18,Central!B$2:C$217,2,FALSE)</f>
        <v>#REF!</v>
      </c>
      <c r="AH18" s="18" t="s">
        <v>53</v>
      </c>
      <c r="AI18" s="19"/>
      <c r="AJ18" s="18" t="s">
        <v>58</v>
      </c>
      <c r="AK18" s="18" t="s">
        <v>52</v>
      </c>
      <c r="AL18" s="18" t="s">
        <v>59</v>
      </c>
      <c r="AM18" s="20" t="str">
        <f t="shared" ref="AM18:AM55" si="17">VLOOKUP(D18,'Copia de vInfo 2'!A:A,1,FALSE)</f>
        <v>#REF!</v>
      </c>
      <c r="AN18" s="37" t="s">
        <v>114</v>
      </c>
    </row>
    <row r="19">
      <c r="A19" s="8">
        <v>377.0</v>
      </c>
      <c r="B19" s="9" t="s">
        <v>123</v>
      </c>
      <c r="C19" s="9" t="s">
        <v>124</v>
      </c>
      <c r="D19" s="10" t="s">
        <v>143</v>
      </c>
      <c r="E19" s="10" t="s">
        <v>143</v>
      </c>
      <c r="F19" s="10" t="s">
        <v>144</v>
      </c>
      <c r="G19" s="9" t="s">
        <v>42</v>
      </c>
      <c r="H19" s="11" t="s">
        <v>132</v>
      </c>
      <c r="I19" s="11" t="s">
        <v>129</v>
      </c>
      <c r="J19" s="12" t="s">
        <v>129</v>
      </c>
      <c r="K19" s="11" t="s">
        <v>45</v>
      </c>
      <c r="L19" s="9" t="s">
        <v>46</v>
      </c>
      <c r="M19" s="9" t="s">
        <v>47</v>
      </c>
      <c r="N19" s="9" t="s">
        <v>48</v>
      </c>
      <c r="O19" s="10" t="s">
        <v>80</v>
      </c>
      <c r="P19" s="10" t="s">
        <v>133</v>
      </c>
      <c r="Q19" s="10" t="s">
        <v>134</v>
      </c>
      <c r="R19" s="14" t="str">
        <f t="shared" si="1"/>
        <v>#NAME?</v>
      </c>
      <c r="S19" s="11" t="str">
        <f t="shared" si="2"/>
        <v>⛔ Sin datos</v>
      </c>
      <c r="T19" s="11" t="str">
        <f t="shared" si="3"/>
        <v>Ya no cuenta con actualizaciones</v>
      </c>
      <c r="U19" s="9" t="s">
        <v>52</v>
      </c>
      <c r="V19" s="39" t="s">
        <v>52</v>
      </c>
      <c r="W19" s="9" t="s">
        <v>53</v>
      </c>
      <c r="X19" s="9" t="s">
        <v>48</v>
      </c>
      <c r="Y19" s="15">
        <f t="shared" si="4"/>
        <v>0.6666666667</v>
      </c>
      <c r="Z19" s="16" t="s">
        <v>55</v>
      </c>
      <c r="AA19" s="17">
        <v>45930.0</v>
      </c>
      <c r="AB19" s="9" t="s">
        <v>56</v>
      </c>
      <c r="AC19" s="16" t="s">
        <v>57</v>
      </c>
      <c r="AD19" s="9" t="s">
        <v>53</v>
      </c>
      <c r="AE19" s="18" t="str">
        <f t="shared" si="15"/>
        <v>#REF!</v>
      </c>
      <c r="AF19" s="18" t="str">
        <f t="shared" si="6"/>
        <v>#REF!</v>
      </c>
      <c r="AG19" s="18" t="str">
        <f t="shared" si="16"/>
        <v>#REF!</v>
      </c>
      <c r="AH19" s="18" t="s">
        <v>53</v>
      </c>
      <c r="AI19" s="19"/>
      <c r="AJ19" s="18" t="s">
        <v>58</v>
      </c>
      <c r="AK19" s="18" t="s">
        <v>52</v>
      </c>
      <c r="AL19" s="18" t="s">
        <v>59</v>
      </c>
      <c r="AM19" s="20" t="str">
        <f t="shared" si="17"/>
        <v>#REF!</v>
      </c>
      <c r="AN19" s="37" t="s">
        <v>114</v>
      </c>
    </row>
    <row r="20">
      <c r="A20" s="8">
        <v>378.0</v>
      </c>
      <c r="B20" s="9" t="s">
        <v>123</v>
      </c>
      <c r="C20" s="9" t="s">
        <v>124</v>
      </c>
      <c r="D20" s="10" t="s">
        <v>145</v>
      </c>
      <c r="E20" s="10" t="s">
        <v>145</v>
      </c>
      <c r="F20" s="10" t="s">
        <v>146</v>
      </c>
      <c r="G20" s="9" t="s">
        <v>42</v>
      </c>
      <c r="H20" s="11" t="s">
        <v>132</v>
      </c>
      <c r="I20" s="11" t="s">
        <v>129</v>
      </c>
      <c r="J20" s="12" t="s">
        <v>129</v>
      </c>
      <c r="K20" s="11" t="s">
        <v>45</v>
      </c>
      <c r="L20" s="9" t="s">
        <v>46</v>
      </c>
      <c r="M20" s="9" t="s">
        <v>47</v>
      </c>
      <c r="N20" s="9" t="s">
        <v>48</v>
      </c>
      <c r="O20" s="10" t="s">
        <v>80</v>
      </c>
      <c r="P20" s="10" t="s">
        <v>133</v>
      </c>
      <c r="Q20" s="10" t="s">
        <v>134</v>
      </c>
      <c r="R20" s="14" t="str">
        <f t="shared" si="1"/>
        <v>#NAME?</v>
      </c>
      <c r="S20" s="11" t="str">
        <f t="shared" si="2"/>
        <v>⛔ Sin datos</v>
      </c>
      <c r="T20" s="11" t="str">
        <f t="shared" si="3"/>
        <v>Ya no cuenta con actualizaciones</v>
      </c>
      <c r="U20" s="9" t="s">
        <v>52</v>
      </c>
      <c r="V20" s="39" t="s">
        <v>52</v>
      </c>
      <c r="W20" s="9" t="s">
        <v>53</v>
      </c>
      <c r="X20" s="9" t="s">
        <v>48</v>
      </c>
      <c r="Y20" s="15">
        <f t="shared" si="4"/>
        <v>0.6666666667</v>
      </c>
      <c r="Z20" s="16" t="s">
        <v>55</v>
      </c>
      <c r="AA20" s="17">
        <v>45930.0</v>
      </c>
      <c r="AB20" s="9" t="s">
        <v>56</v>
      </c>
      <c r="AC20" s="16" t="s">
        <v>57</v>
      </c>
      <c r="AD20" s="9" t="s">
        <v>53</v>
      </c>
      <c r="AE20" s="18" t="str">
        <f t="shared" si="15"/>
        <v>#REF!</v>
      </c>
      <c r="AF20" s="18" t="str">
        <f t="shared" si="6"/>
        <v>#REF!</v>
      </c>
      <c r="AG20" s="18" t="str">
        <f t="shared" si="16"/>
        <v>#REF!</v>
      </c>
      <c r="AH20" s="18" t="s">
        <v>53</v>
      </c>
      <c r="AI20" s="19"/>
      <c r="AJ20" s="18" t="s">
        <v>58</v>
      </c>
      <c r="AK20" s="18" t="s">
        <v>52</v>
      </c>
      <c r="AL20" s="18" t="s">
        <v>59</v>
      </c>
      <c r="AM20" s="20" t="str">
        <f t="shared" si="17"/>
        <v>#REF!</v>
      </c>
      <c r="AN20" s="37" t="s">
        <v>114</v>
      </c>
    </row>
    <row r="21">
      <c r="A21" s="8">
        <v>379.0</v>
      </c>
      <c r="B21" s="9" t="s">
        <v>123</v>
      </c>
      <c r="C21" s="9" t="s">
        <v>124</v>
      </c>
      <c r="D21" s="10" t="s">
        <v>147</v>
      </c>
      <c r="E21" s="10" t="s">
        <v>147</v>
      </c>
      <c r="F21" s="10" t="s">
        <v>148</v>
      </c>
      <c r="G21" s="9" t="s">
        <v>42</v>
      </c>
      <c r="H21" s="11" t="s">
        <v>132</v>
      </c>
      <c r="I21" s="11" t="s">
        <v>129</v>
      </c>
      <c r="J21" s="12" t="s">
        <v>129</v>
      </c>
      <c r="K21" s="11" t="s">
        <v>45</v>
      </c>
      <c r="L21" s="9" t="s">
        <v>46</v>
      </c>
      <c r="M21" s="9" t="s">
        <v>47</v>
      </c>
      <c r="N21" s="9" t="s">
        <v>48</v>
      </c>
      <c r="O21" s="10" t="s">
        <v>80</v>
      </c>
      <c r="P21" s="10" t="s">
        <v>133</v>
      </c>
      <c r="Q21" s="10" t="s">
        <v>134</v>
      </c>
      <c r="R21" s="14" t="str">
        <f t="shared" si="1"/>
        <v>#NAME?</v>
      </c>
      <c r="S21" s="11" t="str">
        <f t="shared" si="2"/>
        <v>⛔ Sin datos</v>
      </c>
      <c r="T21" s="11" t="str">
        <f t="shared" si="3"/>
        <v>Ya no cuenta con actualizaciones</v>
      </c>
      <c r="U21" s="9" t="s">
        <v>52</v>
      </c>
      <c r="V21" s="39" t="s">
        <v>52</v>
      </c>
      <c r="W21" s="9" t="s">
        <v>53</v>
      </c>
      <c r="X21" s="9" t="s">
        <v>48</v>
      </c>
      <c r="Y21" s="15">
        <f t="shared" si="4"/>
        <v>0.6666666667</v>
      </c>
      <c r="Z21" s="16" t="s">
        <v>55</v>
      </c>
      <c r="AA21" s="17">
        <v>45930.0</v>
      </c>
      <c r="AB21" s="9" t="s">
        <v>56</v>
      </c>
      <c r="AC21" s="16" t="s">
        <v>57</v>
      </c>
      <c r="AD21" s="9" t="s">
        <v>53</v>
      </c>
      <c r="AE21" s="18" t="str">
        <f t="shared" si="15"/>
        <v>#REF!</v>
      </c>
      <c r="AF21" s="18" t="str">
        <f t="shared" si="6"/>
        <v>#REF!</v>
      </c>
      <c r="AG21" s="18" t="str">
        <f t="shared" si="16"/>
        <v>#REF!</v>
      </c>
      <c r="AH21" s="18" t="s">
        <v>53</v>
      </c>
      <c r="AI21" s="19"/>
      <c r="AJ21" s="18" t="s">
        <v>58</v>
      </c>
      <c r="AK21" s="18" t="s">
        <v>52</v>
      </c>
      <c r="AL21" s="18" t="s">
        <v>59</v>
      </c>
      <c r="AM21" s="20" t="str">
        <f t="shared" si="17"/>
        <v>#REF!</v>
      </c>
      <c r="AN21" s="37" t="s">
        <v>114</v>
      </c>
    </row>
    <row r="22">
      <c r="A22" s="8">
        <v>380.0</v>
      </c>
      <c r="B22" s="9" t="s">
        <v>123</v>
      </c>
      <c r="C22" s="9" t="s">
        <v>124</v>
      </c>
      <c r="D22" s="10" t="s">
        <v>149</v>
      </c>
      <c r="E22" s="10" t="s">
        <v>149</v>
      </c>
      <c r="F22" s="10" t="s">
        <v>150</v>
      </c>
      <c r="G22" s="9" t="s">
        <v>42</v>
      </c>
      <c r="H22" s="11" t="s">
        <v>132</v>
      </c>
      <c r="I22" s="11" t="s">
        <v>129</v>
      </c>
      <c r="J22" s="12" t="s">
        <v>129</v>
      </c>
      <c r="K22" s="11" t="s">
        <v>45</v>
      </c>
      <c r="L22" s="9" t="s">
        <v>46</v>
      </c>
      <c r="M22" s="9" t="s">
        <v>47</v>
      </c>
      <c r="N22" s="9" t="s">
        <v>48</v>
      </c>
      <c r="O22" s="10" t="s">
        <v>80</v>
      </c>
      <c r="P22" s="10" t="s">
        <v>133</v>
      </c>
      <c r="Q22" s="10" t="s">
        <v>134</v>
      </c>
      <c r="R22" s="14" t="str">
        <f t="shared" si="1"/>
        <v>#NAME?</v>
      </c>
      <c r="S22" s="11" t="str">
        <f t="shared" si="2"/>
        <v>⛔ Sin datos</v>
      </c>
      <c r="T22" s="11" t="str">
        <f t="shared" si="3"/>
        <v>Ya no cuenta con actualizaciones</v>
      </c>
      <c r="U22" s="9" t="s">
        <v>52</v>
      </c>
      <c r="V22" s="39" t="s">
        <v>52</v>
      </c>
      <c r="W22" s="9" t="s">
        <v>53</v>
      </c>
      <c r="X22" s="9" t="s">
        <v>48</v>
      </c>
      <c r="Y22" s="15">
        <f t="shared" si="4"/>
        <v>0.6666666667</v>
      </c>
      <c r="Z22" s="16" t="s">
        <v>55</v>
      </c>
      <c r="AA22" s="17">
        <v>45930.0</v>
      </c>
      <c r="AB22" s="9" t="s">
        <v>56</v>
      </c>
      <c r="AC22" s="16" t="s">
        <v>57</v>
      </c>
      <c r="AD22" s="9" t="s">
        <v>53</v>
      </c>
      <c r="AE22" s="18" t="str">
        <f>VLOOKUP(D22,Falcon!B$2:C$558,2,FALSE)</f>
        <v>#REF!</v>
      </c>
      <c r="AF22" s="18" t="str">
        <f t="shared" si="6"/>
        <v>#REF!</v>
      </c>
      <c r="AG22" s="18" t="str">
        <f t="shared" si="16"/>
        <v>#REF!</v>
      </c>
      <c r="AH22" s="18" t="s">
        <v>53</v>
      </c>
      <c r="AI22" s="19"/>
      <c r="AJ22" s="18" t="s">
        <v>58</v>
      </c>
      <c r="AK22" s="18" t="s">
        <v>52</v>
      </c>
      <c r="AL22" s="18" t="s">
        <v>59</v>
      </c>
      <c r="AM22" s="20" t="str">
        <f t="shared" si="17"/>
        <v>#REF!</v>
      </c>
      <c r="AN22" s="37" t="s">
        <v>114</v>
      </c>
    </row>
    <row r="23">
      <c r="A23" s="22">
        <v>383.0</v>
      </c>
      <c r="B23" s="23" t="s">
        <v>123</v>
      </c>
      <c r="C23" s="23" t="s">
        <v>124</v>
      </c>
      <c r="D23" s="24" t="s">
        <v>151</v>
      </c>
      <c r="E23" s="24" t="s">
        <v>152</v>
      </c>
      <c r="F23" s="24" t="s">
        <v>153</v>
      </c>
      <c r="G23" s="23" t="s">
        <v>42</v>
      </c>
      <c r="H23" s="25" t="str">
        <f t="shared" ref="H23:H24" si="18">VLOOKUP(D23,'Inventario Plataformas OLD 260325'!I:Q,2,FALSE)</f>
        <v>#REF!</v>
      </c>
      <c r="I23" s="26" t="s">
        <v>90</v>
      </c>
      <c r="J23" s="27" t="s">
        <v>91</v>
      </c>
      <c r="K23" s="25" t="s">
        <v>45</v>
      </c>
      <c r="L23" s="23" t="s">
        <v>46</v>
      </c>
      <c r="M23" s="23" t="s">
        <v>47</v>
      </c>
      <c r="N23" s="23" t="s">
        <v>48</v>
      </c>
      <c r="O23" s="24" t="s">
        <v>80</v>
      </c>
      <c r="P23" s="24" t="s">
        <v>92</v>
      </c>
      <c r="Q23" s="24" t="s">
        <v>93</v>
      </c>
      <c r="R23" s="29" t="str">
        <f t="shared" si="1"/>
        <v>#NAME?</v>
      </c>
      <c r="S23" s="25" t="str">
        <f t="shared" si="2"/>
        <v>⛔ Sin datos</v>
      </c>
      <c r="T23" s="25" t="str">
        <f t="shared" si="3"/>
        <v>Ya no cuenta con actualizaciones</v>
      </c>
      <c r="U23" s="23" t="s">
        <v>52</v>
      </c>
      <c r="V23" s="23" t="s">
        <v>52</v>
      </c>
      <c r="W23" s="23" t="s">
        <v>53</v>
      </c>
      <c r="X23" s="23" t="s">
        <v>48</v>
      </c>
      <c r="Y23" s="30">
        <f t="shared" si="4"/>
        <v>0.6666666667</v>
      </c>
      <c r="Z23" s="31" t="s">
        <v>66</v>
      </c>
      <c r="AA23" s="31" t="s">
        <v>67</v>
      </c>
      <c r="AB23" s="31" t="s">
        <v>94</v>
      </c>
      <c r="AC23" s="31" t="s">
        <v>69</v>
      </c>
      <c r="AD23" s="23" t="s">
        <v>53</v>
      </c>
      <c r="AE23" s="32" t="str">
        <f>VLOOKUP(E23,Falcon!B$2:C$558,2,FALSE)</f>
        <v>#REF!</v>
      </c>
      <c r="AF23" s="32" t="str">
        <f t="shared" si="6"/>
        <v>#REF!</v>
      </c>
      <c r="AG23" s="32" t="str">
        <f t="shared" si="16"/>
        <v>#REF!</v>
      </c>
      <c r="AH23" s="32" t="s">
        <v>53</v>
      </c>
      <c r="AI23" s="19"/>
      <c r="AJ23" s="32" t="s">
        <v>69</v>
      </c>
      <c r="AK23" s="32" t="s">
        <v>53</v>
      </c>
      <c r="AL23" s="19"/>
      <c r="AM23" s="33" t="str">
        <f t="shared" si="17"/>
        <v>#REF!</v>
      </c>
      <c r="AN23" s="21"/>
    </row>
    <row r="24">
      <c r="A24" s="22">
        <v>384.0</v>
      </c>
      <c r="B24" s="23" t="s">
        <v>123</v>
      </c>
      <c r="C24" s="23" t="s">
        <v>124</v>
      </c>
      <c r="D24" s="24" t="s">
        <v>154</v>
      </c>
      <c r="E24" s="24" t="s">
        <v>155</v>
      </c>
      <c r="F24" s="24" t="s">
        <v>156</v>
      </c>
      <c r="G24" s="23" t="s">
        <v>42</v>
      </c>
      <c r="H24" s="25" t="str">
        <f t="shared" si="18"/>
        <v>#REF!</v>
      </c>
      <c r="I24" s="26" t="s">
        <v>90</v>
      </c>
      <c r="J24" s="27" t="s">
        <v>91</v>
      </c>
      <c r="K24" s="25" t="s">
        <v>45</v>
      </c>
      <c r="L24" s="23" t="s">
        <v>46</v>
      </c>
      <c r="M24" s="23" t="s">
        <v>47</v>
      </c>
      <c r="N24" s="23" t="s">
        <v>48</v>
      </c>
      <c r="O24" s="24" t="s">
        <v>80</v>
      </c>
      <c r="P24" s="24" t="s">
        <v>92</v>
      </c>
      <c r="Q24" s="24" t="s">
        <v>93</v>
      </c>
      <c r="R24" s="29" t="str">
        <f t="shared" si="1"/>
        <v>#NAME?</v>
      </c>
      <c r="S24" s="25" t="str">
        <f t="shared" si="2"/>
        <v>⛔ Sin datos</v>
      </c>
      <c r="T24" s="25" t="str">
        <f t="shared" si="3"/>
        <v>Ya no cuenta con actualizaciones</v>
      </c>
      <c r="U24" s="23" t="s">
        <v>52</v>
      </c>
      <c r="V24" s="23" t="s">
        <v>52</v>
      </c>
      <c r="W24" s="23" t="s">
        <v>53</v>
      </c>
      <c r="X24" s="23" t="s">
        <v>48</v>
      </c>
      <c r="Y24" s="30">
        <f t="shared" si="4"/>
        <v>0.6666666667</v>
      </c>
      <c r="Z24" s="31" t="s">
        <v>66</v>
      </c>
      <c r="AA24" s="31" t="s">
        <v>67</v>
      </c>
      <c r="AB24" s="31" t="s">
        <v>94</v>
      </c>
      <c r="AC24" s="31" t="s">
        <v>69</v>
      </c>
      <c r="AD24" s="23" t="s">
        <v>53</v>
      </c>
      <c r="AE24" s="32" t="str">
        <f>VLOOKUP(D24,Falcon!B$2:C$558,2,FALSE)</f>
        <v>#REF!</v>
      </c>
      <c r="AF24" s="32" t="str">
        <f t="shared" si="6"/>
        <v>#REF!</v>
      </c>
      <c r="AG24" s="32" t="str">
        <f t="shared" si="16"/>
        <v>#REF!</v>
      </c>
      <c r="AH24" s="32" t="s">
        <v>53</v>
      </c>
      <c r="AI24" s="19"/>
      <c r="AJ24" s="32" t="s">
        <v>69</v>
      </c>
      <c r="AK24" s="32" t="s">
        <v>53</v>
      </c>
      <c r="AL24" s="19"/>
      <c r="AM24" s="33" t="str">
        <f t="shared" si="17"/>
        <v>#REF!</v>
      </c>
      <c r="AN24" s="19"/>
    </row>
    <row r="25">
      <c r="A25" s="22">
        <v>425.0</v>
      </c>
      <c r="B25" s="23" t="s">
        <v>123</v>
      </c>
      <c r="C25" s="23" t="s">
        <v>124</v>
      </c>
      <c r="D25" s="24" t="s">
        <v>157</v>
      </c>
      <c r="E25" s="24" t="s">
        <v>158</v>
      </c>
      <c r="F25" s="24" t="s">
        <v>159</v>
      </c>
      <c r="G25" s="23" t="s">
        <v>42</v>
      </c>
      <c r="H25" s="25" t="s">
        <v>160</v>
      </c>
      <c r="I25" s="25" t="s">
        <v>90</v>
      </c>
      <c r="J25" s="27" t="s">
        <v>91</v>
      </c>
      <c r="K25" s="25" t="s">
        <v>45</v>
      </c>
      <c r="L25" s="23" t="s">
        <v>46</v>
      </c>
      <c r="M25" s="23" t="s">
        <v>47</v>
      </c>
      <c r="N25" s="23" t="s">
        <v>48</v>
      </c>
      <c r="O25" s="24" t="s">
        <v>80</v>
      </c>
      <c r="P25" s="24" t="s">
        <v>92</v>
      </c>
      <c r="Q25" s="24" t="s">
        <v>161</v>
      </c>
      <c r="R25" s="29" t="str">
        <f t="shared" si="1"/>
        <v>#NAME?</v>
      </c>
      <c r="S25" s="25" t="str">
        <f t="shared" si="2"/>
        <v>⛔ Sin datos</v>
      </c>
      <c r="T25" s="25" t="str">
        <f t="shared" si="3"/>
        <v>Ya no cuenta con actualizaciones</v>
      </c>
      <c r="U25" s="23" t="s">
        <v>52</v>
      </c>
      <c r="V25" s="23" t="s">
        <v>52</v>
      </c>
      <c r="W25" s="23" t="s">
        <v>53</v>
      </c>
      <c r="X25" s="23" t="s">
        <v>48</v>
      </c>
      <c r="Y25" s="30">
        <f t="shared" si="4"/>
        <v>0.6666666667</v>
      </c>
      <c r="Z25" s="31" t="s">
        <v>66</v>
      </c>
      <c r="AA25" s="31" t="s">
        <v>67</v>
      </c>
      <c r="AB25" s="31" t="s">
        <v>94</v>
      </c>
      <c r="AC25" s="31" t="s">
        <v>69</v>
      </c>
      <c r="AD25" s="23" t="s">
        <v>53</v>
      </c>
      <c r="AE25" s="32" t="str">
        <f t="shared" ref="AE25:AE27" si="19">VLOOKUP(E25,Falcon!B$2:C$558,2,FALSE)</f>
        <v>#REF!</v>
      </c>
      <c r="AF25" s="32" t="str">
        <f t="shared" si="6"/>
        <v>#REF!</v>
      </c>
      <c r="AG25" s="32" t="str">
        <f t="shared" si="16"/>
        <v>#REF!</v>
      </c>
      <c r="AH25" s="32" t="s">
        <v>53</v>
      </c>
      <c r="AI25" s="19"/>
      <c r="AJ25" s="32" t="s">
        <v>69</v>
      </c>
      <c r="AK25" s="32" t="s">
        <v>53</v>
      </c>
      <c r="AL25" s="19"/>
      <c r="AM25" s="33" t="str">
        <f t="shared" si="17"/>
        <v>#REF!</v>
      </c>
      <c r="AN25" s="19"/>
    </row>
    <row r="26">
      <c r="A26" s="22">
        <v>426.0</v>
      </c>
      <c r="B26" s="23" t="s">
        <v>123</v>
      </c>
      <c r="C26" s="23" t="s">
        <v>124</v>
      </c>
      <c r="D26" s="24" t="s">
        <v>162</v>
      </c>
      <c r="E26" s="24" t="s">
        <v>163</v>
      </c>
      <c r="F26" s="24" t="s">
        <v>164</v>
      </c>
      <c r="G26" s="23" t="s">
        <v>42</v>
      </c>
      <c r="H26" s="25" t="s">
        <v>160</v>
      </c>
      <c r="I26" s="25" t="s">
        <v>90</v>
      </c>
      <c r="J26" s="27" t="s">
        <v>91</v>
      </c>
      <c r="K26" s="25" t="s">
        <v>45</v>
      </c>
      <c r="L26" s="23" t="s">
        <v>46</v>
      </c>
      <c r="M26" s="23" t="s">
        <v>47</v>
      </c>
      <c r="N26" s="23" t="s">
        <v>48</v>
      </c>
      <c r="O26" s="24" t="s">
        <v>80</v>
      </c>
      <c r="P26" s="24" t="s">
        <v>92</v>
      </c>
      <c r="Q26" s="24" t="s">
        <v>161</v>
      </c>
      <c r="R26" s="29" t="str">
        <f t="shared" si="1"/>
        <v>#NAME?</v>
      </c>
      <c r="S26" s="25" t="str">
        <f t="shared" si="2"/>
        <v>⛔ Sin datos</v>
      </c>
      <c r="T26" s="25" t="str">
        <f t="shared" si="3"/>
        <v>Ya no cuenta con actualizaciones</v>
      </c>
      <c r="U26" s="23" t="s">
        <v>52</v>
      </c>
      <c r="V26" s="23" t="s">
        <v>52</v>
      </c>
      <c r="W26" s="23" t="s">
        <v>53</v>
      </c>
      <c r="X26" s="23" t="s">
        <v>48</v>
      </c>
      <c r="Y26" s="30">
        <f t="shared" si="4"/>
        <v>0.6666666667</v>
      </c>
      <c r="Z26" s="31" t="s">
        <v>66</v>
      </c>
      <c r="AA26" s="31" t="s">
        <v>67</v>
      </c>
      <c r="AB26" s="31" t="s">
        <v>94</v>
      </c>
      <c r="AC26" s="31" t="s">
        <v>69</v>
      </c>
      <c r="AD26" s="23" t="s">
        <v>53</v>
      </c>
      <c r="AE26" s="32" t="str">
        <f t="shared" si="19"/>
        <v>#REF!</v>
      </c>
      <c r="AF26" s="32" t="str">
        <f t="shared" si="6"/>
        <v>#REF!</v>
      </c>
      <c r="AG26" s="32" t="str">
        <f t="shared" si="16"/>
        <v>#REF!</v>
      </c>
      <c r="AH26" s="32" t="s">
        <v>53</v>
      </c>
      <c r="AI26" s="19"/>
      <c r="AJ26" s="32" t="s">
        <v>69</v>
      </c>
      <c r="AK26" s="32" t="s">
        <v>53</v>
      </c>
      <c r="AL26" s="19"/>
      <c r="AM26" s="33" t="str">
        <f t="shared" si="17"/>
        <v>#REF!</v>
      </c>
      <c r="AN26" s="21"/>
    </row>
    <row r="27">
      <c r="A27" s="22">
        <v>427.0</v>
      </c>
      <c r="B27" s="23" t="s">
        <v>123</v>
      </c>
      <c r="C27" s="23" t="s">
        <v>124</v>
      </c>
      <c r="D27" s="24" t="s">
        <v>165</v>
      </c>
      <c r="E27" s="24" t="s">
        <v>166</v>
      </c>
      <c r="F27" s="24" t="s">
        <v>167</v>
      </c>
      <c r="G27" s="23" t="s">
        <v>42</v>
      </c>
      <c r="H27" s="25" t="s">
        <v>160</v>
      </c>
      <c r="I27" s="25" t="s">
        <v>90</v>
      </c>
      <c r="J27" s="27" t="s">
        <v>91</v>
      </c>
      <c r="K27" s="25" t="s">
        <v>45</v>
      </c>
      <c r="L27" s="23" t="s">
        <v>46</v>
      </c>
      <c r="M27" s="23" t="s">
        <v>47</v>
      </c>
      <c r="N27" s="23" t="s">
        <v>48</v>
      </c>
      <c r="O27" s="24" t="s">
        <v>80</v>
      </c>
      <c r="P27" s="24" t="s">
        <v>92</v>
      </c>
      <c r="Q27" s="24" t="s">
        <v>161</v>
      </c>
      <c r="R27" s="29" t="str">
        <f t="shared" si="1"/>
        <v>#NAME?</v>
      </c>
      <c r="S27" s="25" t="str">
        <f t="shared" si="2"/>
        <v>⛔ Sin datos</v>
      </c>
      <c r="T27" s="25" t="str">
        <f t="shared" si="3"/>
        <v>Ya no cuenta con actualizaciones</v>
      </c>
      <c r="U27" s="23" t="s">
        <v>52</v>
      </c>
      <c r="V27" s="23" t="s">
        <v>52</v>
      </c>
      <c r="W27" s="23" t="s">
        <v>53</v>
      </c>
      <c r="X27" s="23" t="s">
        <v>48</v>
      </c>
      <c r="Y27" s="30">
        <f t="shared" si="4"/>
        <v>0.6666666667</v>
      </c>
      <c r="Z27" s="31" t="s">
        <v>66</v>
      </c>
      <c r="AA27" s="31" t="s">
        <v>67</v>
      </c>
      <c r="AB27" s="31" t="s">
        <v>94</v>
      </c>
      <c r="AC27" s="31" t="s">
        <v>69</v>
      </c>
      <c r="AD27" s="23" t="s">
        <v>53</v>
      </c>
      <c r="AE27" s="32" t="str">
        <f t="shared" si="19"/>
        <v>#REF!</v>
      </c>
      <c r="AF27" s="32" t="str">
        <f t="shared" si="6"/>
        <v>#REF!</v>
      </c>
      <c r="AG27" s="32" t="str">
        <f t="shared" si="16"/>
        <v>#REF!</v>
      </c>
      <c r="AH27" s="32" t="s">
        <v>53</v>
      </c>
      <c r="AI27" s="19"/>
      <c r="AJ27" s="32" t="s">
        <v>69</v>
      </c>
      <c r="AK27" s="32" t="s">
        <v>53</v>
      </c>
      <c r="AL27" s="19"/>
      <c r="AM27" s="33" t="str">
        <f t="shared" si="17"/>
        <v>#REF!</v>
      </c>
      <c r="AN27" s="21"/>
    </row>
    <row r="28">
      <c r="A28" s="8">
        <v>448.0</v>
      </c>
      <c r="B28" s="9" t="s">
        <v>168</v>
      </c>
      <c r="C28" s="9" t="s">
        <v>124</v>
      </c>
      <c r="D28" s="10" t="s">
        <v>169</v>
      </c>
      <c r="E28" s="10" t="s">
        <v>170</v>
      </c>
      <c r="F28" s="10" t="s">
        <v>171</v>
      </c>
      <c r="G28" s="9" t="s">
        <v>78</v>
      </c>
      <c r="H28" s="11" t="s">
        <v>132</v>
      </c>
      <c r="I28" s="11" t="s">
        <v>129</v>
      </c>
      <c r="J28" s="12" t="s">
        <v>129</v>
      </c>
      <c r="K28" s="11" t="s">
        <v>45</v>
      </c>
      <c r="L28" s="9" t="s">
        <v>46</v>
      </c>
      <c r="M28" s="9" t="s">
        <v>47</v>
      </c>
      <c r="N28" s="9" t="s">
        <v>48</v>
      </c>
      <c r="O28" s="10" t="s">
        <v>80</v>
      </c>
      <c r="P28" s="10" t="s">
        <v>133</v>
      </c>
      <c r="Q28" s="10" t="s">
        <v>134</v>
      </c>
      <c r="R28" s="14" t="str">
        <f t="shared" si="1"/>
        <v>#NAME?</v>
      </c>
      <c r="S28" s="11" t="str">
        <f t="shared" si="2"/>
        <v>⛔ Sin datos</v>
      </c>
      <c r="T28" s="11" t="str">
        <f t="shared" si="3"/>
        <v>Ya no cuenta con actualizaciones</v>
      </c>
      <c r="U28" s="9" t="s">
        <v>52</v>
      </c>
      <c r="V28" s="39" t="s">
        <v>52</v>
      </c>
      <c r="W28" s="9" t="s">
        <v>53</v>
      </c>
      <c r="X28" s="9" t="s">
        <v>48</v>
      </c>
      <c r="Y28" s="15">
        <f t="shared" si="4"/>
        <v>0.6666666667</v>
      </c>
      <c r="Z28" s="16" t="s">
        <v>55</v>
      </c>
      <c r="AA28" s="17">
        <v>45930.0</v>
      </c>
      <c r="AB28" s="9" t="s">
        <v>56</v>
      </c>
      <c r="AC28" s="16" t="s">
        <v>57</v>
      </c>
      <c r="AD28" s="9" t="s">
        <v>53</v>
      </c>
      <c r="AE28" s="18" t="str">
        <f t="shared" ref="AE28:AE29" si="20">VLOOKUP(D28,Falcon!B$2:C$558,2,FALSE)</f>
        <v>#REF!</v>
      </c>
      <c r="AF28" s="18" t="str">
        <f t="shared" si="6"/>
        <v>#REF!</v>
      </c>
      <c r="AG28" s="18" t="str">
        <f t="shared" si="16"/>
        <v>#REF!</v>
      </c>
      <c r="AH28" s="18" t="s">
        <v>53</v>
      </c>
      <c r="AI28" s="19"/>
      <c r="AJ28" s="9" t="s">
        <v>58</v>
      </c>
      <c r="AK28" s="18" t="s">
        <v>52</v>
      </c>
      <c r="AL28" s="18" t="s">
        <v>59</v>
      </c>
      <c r="AM28" s="20" t="str">
        <f t="shared" si="17"/>
        <v>#REF!</v>
      </c>
      <c r="AN28" s="21"/>
    </row>
    <row r="29">
      <c r="A29" s="8">
        <v>449.0</v>
      </c>
      <c r="B29" s="9" t="s">
        <v>168</v>
      </c>
      <c r="C29" s="9" t="s">
        <v>124</v>
      </c>
      <c r="D29" s="10" t="s">
        <v>172</v>
      </c>
      <c r="E29" s="10" t="s">
        <v>173</v>
      </c>
      <c r="F29" s="10" t="s">
        <v>174</v>
      </c>
      <c r="G29" s="9" t="s">
        <v>78</v>
      </c>
      <c r="H29" s="11" t="s">
        <v>175</v>
      </c>
      <c r="I29" s="11" t="s">
        <v>129</v>
      </c>
      <c r="J29" s="12" t="s">
        <v>129</v>
      </c>
      <c r="K29" s="11" t="s">
        <v>45</v>
      </c>
      <c r="L29" s="9" t="s">
        <v>46</v>
      </c>
      <c r="M29" s="9" t="s">
        <v>47</v>
      </c>
      <c r="N29" s="9" t="s">
        <v>48</v>
      </c>
      <c r="O29" s="10" t="s">
        <v>80</v>
      </c>
      <c r="P29" s="10" t="s">
        <v>133</v>
      </c>
      <c r="Q29" s="10" t="s">
        <v>134</v>
      </c>
      <c r="R29" s="14" t="str">
        <f t="shared" si="1"/>
        <v>#NAME?</v>
      </c>
      <c r="S29" s="11" t="str">
        <f t="shared" si="2"/>
        <v>⛔ Sin datos</v>
      </c>
      <c r="T29" s="11" t="str">
        <f t="shared" si="3"/>
        <v>Ya no cuenta con actualizaciones</v>
      </c>
      <c r="U29" s="9" t="s">
        <v>52</v>
      </c>
      <c r="V29" s="39" t="s">
        <v>52</v>
      </c>
      <c r="W29" s="9" t="s">
        <v>53</v>
      </c>
      <c r="X29" s="9" t="s">
        <v>48</v>
      </c>
      <c r="Y29" s="15">
        <f t="shared" si="4"/>
        <v>0.6666666667</v>
      </c>
      <c r="Z29" s="16" t="s">
        <v>55</v>
      </c>
      <c r="AA29" s="17">
        <v>45930.0</v>
      </c>
      <c r="AB29" s="9" t="s">
        <v>56</v>
      </c>
      <c r="AC29" s="16" t="s">
        <v>57</v>
      </c>
      <c r="AD29" s="9" t="s">
        <v>53</v>
      </c>
      <c r="AE29" s="18" t="str">
        <f t="shared" si="20"/>
        <v>#REF!</v>
      </c>
      <c r="AF29" s="18" t="str">
        <f t="shared" si="6"/>
        <v>#REF!</v>
      </c>
      <c r="AG29" s="18" t="str">
        <f t="shared" si="16"/>
        <v>#REF!</v>
      </c>
      <c r="AH29" s="18" t="s">
        <v>53</v>
      </c>
      <c r="AI29" s="19"/>
      <c r="AJ29" s="9" t="s">
        <v>58</v>
      </c>
      <c r="AK29" s="18" t="s">
        <v>52</v>
      </c>
      <c r="AL29" s="18" t="s">
        <v>59</v>
      </c>
      <c r="AM29" s="20" t="str">
        <f t="shared" si="17"/>
        <v>#REF!</v>
      </c>
      <c r="AN29" s="21"/>
    </row>
    <row r="30">
      <c r="A30" s="8">
        <v>450.0</v>
      </c>
      <c r="B30" s="9" t="s">
        <v>168</v>
      </c>
      <c r="C30" s="9" t="s">
        <v>124</v>
      </c>
      <c r="D30" s="10" t="s">
        <v>176</v>
      </c>
      <c r="E30" s="10" t="s">
        <v>177</v>
      </c>
      <c r="F30" s="10" t="s">
        <v>178</v>
      </c>
      <c r="G30" s="9" t="s">
        <v>107</v>
      </c>
      <c r="H30" s="11" t="s">
        <v>132</v>
      </c>
      <c r="I30" s="11" t="s">
        <v>129</v>
      </c>
      <c r="J30" s="12" t="s">
        <v>129</v>
      </c>
      <c r="K30" s="11" t="s">
        <v>45</v>
      </c>
      <c r="L30" s="9" t="s">
        <v>46</v>
      </c>
      <c r="M30" s="9" t="s">
        <v>47</v>
      </c>
      <c r="N30" s="9" t="s">
        <v>48</v>
      </c>
      <c r="O30" s="10" t="s">
        <v>80</v>
      </c>
      <c r="P30" s="10" t="s">
        <v>133</v>
      </c>
      <c r="Q30" s="10" t="s">
        <v>134</v>
      </c>
      <c r="R30" s="14" t="str">
        <f t="shared" si="1"/>
        <v>#NAME?</v>
      </c>
      <c r="S30" s="11" t="str">
        <f t="shared" si="2"/>
        <v>⛔ Sin datos</v>
      </c>
      <c r="T30" s="11" t="str">
        <f t="shared" si="3"/>
        <v>Ya no cuenta con actualizaciones</v>
      </c>
      <c r="U30" s="9" t="s">
        <v>52</v>
      </c>
      <c r="V30" s="39" t="s">
        <v>52</v>
      </c>
      <c r="W30" s="9" t="s">
        <v>53</v>
      </c>
      <c r="X30" s="9" t="s">
        <v>48</v>
      </c>
      <c r="Y30" s="15">
        <f t="shared" si="4"/>
        <v>0.6666666667</v>
      </c>
      <c r="Z30" s="16" t="s">
        <v>55</v>
      </c>
      <c r="AA30" s="17">
        <v>45930.0</v>
      </c>
      <c r="AB30" s="9" t="s">
        <v>56</v>
      </c>
      <c r="AC30" s="16" t="s">
        <v>57</v>
      </c>
      <c r="AD30" s="9" t="s">
        <v>53</v>
      </c>
      <c r="AE30" s="18" t="str">
        <f t="shared" ref="AE30:AE33" si="21">VLOOKUP(E30,Falcon!B$2:C$558,2,FALSE)</f>
        <v>#REF!</v>
      </c>
      <c r="AF30" s="18" t="str">
        <f t="shared" si="6"/>
        <v>#REF!</v>
      </c>
      <c r="AG30" s="18" t="str">
        <f t="shared" si="16"/>
        <v>#REF!</v>
      </c>
      <c r="AH30" s="18" t="s">
        <v>53</v>
      </c>
      <c r="AI30" s="19"/>
      <c r="AJ30" s="18" t="s">
        <v>58</v>
      </c>
      <c r="AK30" s="18" t="s">
        <v>52</v>
      </c>
      <c r="AL30" s="18" t="s">
        <v>59</v>
      </c>
      <c r="AM30" s="20" t="str">
        <f t="shared" si="17"/>
        <v>#REF!</v>
      </c>
      <c r="AN30" s="21"/>
    </row>
    <row r="31">
      <c r="A31" s="8">
        <v>451.0</v>
      </c>
      <c r="B31" s="9" t="s">
        <v>168</v>
      </c>
      <c r="C31" s="9" t="s">
        <v>124</v>
      </c>
      <c r="D31" s="10" t="s">
        <v>179</v>
      </c>
      <c r="E31" s="10" t="s">
        <v>180</v>
      </c>
      <c r="F31" s="10" t="s">
        <v>181</v>
      </c>
      <c r="G31" s="9" t="s">
        <v>107</v>
      </c>
      <c r="H31" s="11" t="s">
        <v>132</v>
      </c>
      <c r="I31" s="11" t="s">
        <v>129</v>
      </c>
      <c r="J31" s="12" t="s">
        <v>129</v>
      </c>
      <c r="K31" s="11" t="s">
        <v>45</v>
      </c>
      <c r="L31" s="9" t="s">
        <v>46</v>
      </c>
      <c r="M31" s="9" t="s">
        <v>47</v>
      </c>
      <c r="N31" s="9" t="s">
        <v>48</v>
      </c>
      <c r="O31" s="10" t="s">
        <v>80</v>
      </c>
      <c r="P31" s="10" t="s">
        <v>133</v>
      </c>
      <c r="Q31" s="10" t="s">
        <v>134</v>
      </c>
      <c r="R31" s="14" t="str">
        <f t="shared" si="1"/>
        <v>#NAME?</v>
      </c>
      <c r="S31" s="11" t="str">
        <f t="shared" si="2"/>
        <v>⛔ Sin datos</v>
      </c>
      <c r="T31" s="11" t="str">
        <f t="shared" si="3"/>
        <v>Ya no cuenta con actualizaciones</v>
      </c>
      <c r="U31" s="9" t="s">
        <v>52</v>
      </c>
      <c r="V31" s="39" t="s">
        <v>52</v>
      </c>
      <c r="W31" s="9" t="s">
        <v>53</v>
      </c>
      <c r="X31" s="9" t="s">
        <v>48</v>
      </c>
      <c r="Y31" s="15">
        <f t="shared" si="4"/>
        <v>0.6666666667</v>
      </c>
      <c r="Z31" s="16" t="s">
        <v>55</v>
      </c>
      <c r="AA31" s="17">
        <v>45930.0</v>
      </c>
      <c r="AB31" s="9" t="s">
        <v>56</v>
      </c>
      <c r="AC31" s="16" t="s">
        <v>57</v>
      </c>
      <c r="AD31" s="9" t="s">
        <v>53</v>
      </c>
      <c r="AE31" s="18" t="str">
        <f t="shared" si="21"/>
        <v>#REF!</v>
      </c>
      <c r="AF31" s="18" t="str">
        <f t="shared" si="6"/>
        <v>#REF!</v>
      </c>
      <c r="AG31" s="18" t="str">
        <f t="shared" si="16"/>
        <v>#REF!</v>
      </c>
      <c r="AH31" s="18" t="s">
        <v>53</v>
      </c>
      <c r="AI31" s="19"/>
      <c r="AJ31" s="18" t="s">
        <v>58</v>
      </c>
      <c r="AK31" s="18" t="s">
        <v>52</v>
      </c>
      <c r="AL31" s="18" t="s">
        <v>59</v>
      </c>
      <c r="AM31" s="20" t="str">
        <f t="shared" si="17"/>
        <v>#REF!</v>
      </c>
      <c r="AN31" s="21"/>
    </row>
    <row r="32">
      <c r="A32" s="8">
        <v>452.0</v>
      </c>
      <c r="B32" s="9" t="s">
        <v>168</v>
      </c>
      <c r="C32" s="9" t="s">
        <v>124</v>
      </c>
      <c r="D32" s="10" t="s">
        <v>182</v>
      </c>
      <c r="E32" s="10" t="s">
        <v>183</v>
      </c>
      <c r="F32" s="10" t="s">
        <v>184</v>
      </c>
      <c r="G32" s="9" t="s">
        <v>107</v>
      </c>
      <c r="H32" s="11" t="s">
        <v>132</v>
      </c>
      <c r="I32" s="11" t="s">
        <v>129</v>
      </c>
      <c r="J32" s="12" t="s">
        <v>129</v>
      </c>
      <c r="K32" s="11" t="s">
        <v>45</v>
      </c>
      <c r="L32" s="9" t="s">
        <v>46</v>
      </c>
      <c r="M32" s="9" t="s">
        <v>47</v>
      </c>
      <c r="N32" s="9" t="s">
        <v>48</v>
      </c>
      <c r="O32" s="10" t="s">
        <v>80</v>
      </c>
      <c r="P32" s="10" t="s">
        <v>133</v>
      </c>
      <c r="Q32" s="10" t="s">
        <v>134</v>
      </c>
      <c r="R32" s="14" t="str">
        <f t="shared" si="1"/>
        <v>#NAME?</v>
      </c>
      <c r="S32" s="11" t="str">
        <f t="shared" si="2"/>
        <v>⛔ Sin datos</v>
      </c>
      <c r="T32" s="11" t="str">
        <f t="shared" si="3"/>
        <v>Ya no cuenta con actualizaciones</v>
      </c>
      <c r="U32" s="9" t="s">
        <v>52</v>
      </c>
      <c r="V32" s="39" t="s">
        <v>52</v>
      </c>
      <c r="W32" s="9" t="s">
        <v>53</v>
      </c>
      <c r="X32" s="9" t="s">
        <v>48</v>
      </c>
      <c r="Y32" s="15">
        <f t="shared" si="4"/>
        <v>0.6666666667</v>
      </c>
      <c r="Z32" s="16" t="s">
        <v>55</v>
      </c>
      <c r="AA32" s="17">
        <v>45930.0</v>
      </c>
      <c r="AB32" s="9" t="s">
        <v>56</v>
      </c>
      <c r="AC32" s="16" t="s">
        <v>57</v>
      </c>
      <c r="AD32" s="9" t="s">
        <v>53</v>
      </c>
      <c r="AE32" s="18" t="str">
        <f t="shared" si="21"/>
        <v>#REF!</v>
      </c>
      <c r="AF32" s="18" t="str">
        <f t="shared" si="6"/>
        <v>#REF!</v>
      </c>
      <c r="AG32" s="18" t="str">
        <f t="shared" si="16"/>
        <v>#REF!</v>
      </c>
      <c r="AH32" s="18" t="s">
        <v>53</v>
      </c>
      <c r="AI32" s="19"/>
      <c r="AJ32" s="18" t="s">
        <v>58</v>
      </c>
      <c r="AK32" s="18" t="s">
        <v>52</v>
      </c>
      <c r="AL32" s="18" t="s">
        <v>59</v>
      </c>
      <c r="AM32" s="20" t="str">
        <f t="shared" si="17"/>
        <v>#REF!</v>
      </c>
      <c r="AN32" s="21"/>
    </row>
    <row r="33">
      <c r="A33" s="8">
        <v>453.0</v>
      </c>
      <c r="B33" s="9" t="s">
        <v>168</v>
      </c>
      <c r="C33" s="9" t="s">
        <v>124</v>
      </c>
      <c r="D33" s="10" t="s">
        <v>185</v>
      </c>
      <c r="E33" s="10" t="s">
        <v>186</v>
      </c>
      <c r="F33" s="10" t="s">
        <v>187</v>
      </c>
      <c r="G33" s="9" t="s">
        <v>107</v>
      </c>
      <c r="H33" s="11" t="s">
        <v>132</v>
      </c>
      <c r="I33" s="11" t="s">
        <v>129</v>
      </c>
      <c r="J33" s="12" t="s">
        <v>129</v>
      </c>
      <c r="K33" s="11" t="s">
        <v>45</v>
      </c>
      <c r="L33" s="9" t="s">
        <v>46</v>
      </c>
      <c r="M33" s="9" t="s">
        <v>47</v>
      </c>
      <c r="N33" s="9" t="s">
        <v>48</v>
      </c>
      <c r="O33" s="10" t="s">
        <v>80</v>
      </c>
      <c r="P33" s="10" t="s">
        <v>133</v>
      </c>
      <c r="Q33" s="10" t="s">
        <v>134</v>
      </c>
      <c r="R33" s="14" t="str">
        <f t="shared" si="1"/>
        <v>#NAME?</v>
      </c>
      <c r="S33" s="11" t="str">
        <f t="shared" si="2"/>
        <v>⛔ Sin datos</v>
      </c>
      <c r="T33" s="11" t="str">
        <f t="shared" si="3"/>
        <v>Ya no cuenta con actualizaciones</v>
      </c>
      <c r="U33" s="9" t="s">
        <v>52</v>
      </c>
      <c r="V33" s="39" t="s">
        <v>52</v>
      </c>
      <c r="W33" s="9" t="s">
        <v>53</v>
      </c>
      <c r="X33" s="9" t="s">
        <v>48</v>
      </c>
      <c r="Y33" s="15">
        <f t="shared" si="4"/>
        <v>0.6666666667</v>
      </c>
      <c r="Z33" s="16" t="s">
        <v>55</v>
      </c>
      <c r="AA33" s="17">
        <v>45930.0</v>
      </c>
      <c r="AB33" s="9" t="s">
        <v>56</v>
      </c>
      <c r="AC33" s="16" t="s">
        <v>57</v>
      </c>
      <c r="AD33" s="9" t="s">
        <v>53</v>
      </c>
      <c r="AE33" s="18" t="str">
        <f t="shared" si="21"/>
        <v>#REF!</v>
      </c>
      <c r="AF33" s="18" t="str">
        <f t="shared" si="6"/>
        <v>#REF!</v>
      </c>
      <c r="AG33" s="18" t="str">
        <f t="shared" si="16"/>
        <v>#REF!</v>
      </c>
      <c r="AH33" s="18" t="s">
        <v>53</v>
      </c>
      <c r="AI33" s="19"/>
      <c r="AJ33" s="18" t="s">
        <v>58</v>
      </c>
      <c r="AK33" s="18" t="s">
        <v>52</v>
      </c>
      <c r="AL33" s="18" t="s">
        <v>59</v>
      </c>
      <c r="AM33" s="20" t="str">
        <f t="shared" si="17"/>
        <v>#REF!</v>
      </c>
      <c r="AN33" s="21"/>
    </row>
    <row r="34">
      <c r="A34" s="8">
        <v>454.0</v>
      </c>
      <c r="B34" s="9" t="s">
        <v>168</v>
      </c>
      <c r="C34" s="9" t="s">
        <v>124</v>
      </c>
      <c r="D34" s="10" t="s">
        <v>188</v>
      </c>
      <c r="E34" s="10" t="s">
        <v>189</v>
      </c>
      <c r="F34" s="10" t="s">
        <v>190</v>
      </c>
      <c r="G34" s="9" t="s">
        <v>107</v>
      </c>
      <c r="H34" s="11" t="s">
        <v>132</v>
      </c>
      <c r="I34" s="11" t="s">
        <v>129</v>
      </c>
      <c r="J34" s="12" t="s">
        <v>129</v>
      </c>
      <c r="K34" s="11" t="s">
        <v>45</v>
      </c>
      <c r="L34" s="9" t="s">
        <v>46</v>
      </c>
      <c r="M34" s="9" t="s">
        <v>47</v>
      </c>
      <c r="N34" s="9" t="s">
        <v>48</v>
      </c>
      <c r="O34" s="10" t="s">
        <v>80</v>
      </c>
      <c r="P34" s="10" t="s">
        <v>133</v>
      </c>
      <c r="Q34" s="10" t="s">
        <v>134</v>
      </c>
      <c r="R34" s="14" t="str">
        <f t="shared" si="1"/>
        <v>#NAME?</v>
      </c>
      <c r="S34" s="11" t="str">
        <f t="shared" si="2"/>
        <v>⛔ Sin datos</v>
      </c>
      <c r="T34" s="11" t="str">
        <f t="shared" si="3"/>
        <v>Ya no cuenta con actualizaciones</v>
      </c>
      <c r="U34" s="9" t="s">
        <v>52</v>
      </c>
      <c r="V34" s="39" t="s">
        <v>52</v>
      </c>
      <c r="W34" s="9" t="s">
        <v>53</v>
      </c>
      <c r="X34" s="9" t="s">
        <v>48</v>
      </c>
      <c r="Y34" s="15">
        <f t="shared" si="4"/>
        <v>0.6666666667</v>
      </c>
      <c r="Z34" s="16" t="s">
        <v>55</v>
      </c>
      <c r="AA34" s="17">
        <v>45930.0</v>
      </c>
      <c r="AB34" s="9" t="s">
        <v>56</v>
      </c>
      <c r="AC34" s="16" t="s">
        <v>57</v>
      </c>
      <c r="AD34" s="9" t="s">
        <v>53</v>
      </c>
      <c r="AE34" s="18" t="str">
        <f t="shared" ref="AE34:AE35" si="22">VLOOKUP(D34,Falcon!B$2:C$558,2,FALSE)</f>
        <v>#REF!</v>
      </c>
      <c r="AF34" s="18" t="str">
        <f t="shared" si="6"/>
        <v>#REF!</v>
      </c>
      <c r="AG34" s="18" t="str">
        <f t="shared" si="16"/>
        <v>#REF!</v>
      </c>
      <c r="AH34" s="18" t="s">
        <v>53</v>
      </c>
      <c r="AI34" s="19"/>
      <c r="AJ34" s="18" t="s">
        <v>58</v>
      </c>
      <c r="AK34" s="18" t="s">
        <v>52</v>
      </c>
      <c r="AL34" s="18" t="s">
        <v>59</v>
      </c>
      <c r="AM34" s="20" t="str">
        <f t="shared" si="17"/>
        <v>#REF!</v>
      </c>
      <c r="AN34" s="21"/>
    </row>
    <row r="35">
      <c r="A35" s="8">
        <v>455.0</v>
      </c>
      <c r="B35" s="9" t="s">
        <v>168</v>
      </c>
      <c r="C35" s="9" t="s">
        <v>124</v>
      </c>
      <c r="D35" s="10" t="s">
        <v>191</v>
      </c>
      <c r="E35" s="10" t="s">
        <v>192</v>
      </c>
      <c r="F35" s="10" t="s">
        <v>193</v>
      </c>
      <c r="G35" s="9" t="s">
        <v>107</v>
      </c>
      <c r="H35" s="11" t="s">
        <v>132</v>
      </c>
      <c r="I35" s="11" t="s">
        <v>129</v>
      </c>
      <c r="J35" s="12" t="s">
        <v>129</v>
      </c>
      <c r="K35" s="11" t="s">
        <v>45</v>
      </c>
      <c r="L35" s="9" t="s">
        <v>46</v>
      </c>
      <c r="M35" s="9" t="s">
        <v>47</v>
      </c>
      <c r="N35" s="9" t="s">
        <v>48</v>
      </c>
      <c r="O35" s="10" t="s">
        <v>80</v>
      </c>
      <c r="P35" s="10" t="s">
        <v>133</v>
      </c>
      <c r="Q35" s="10" t="s">
        <v>134</v>
      </c>
      <c r="R35" s="14" t="str">
        <f t="shared" si="1"/>
        <v>#NAME?</v>
      </c>
      <c r="S35" s="11" t="str">
        <f t="shared" si="2"/>
        <v>⛔ Sin datos</v>
      </c>
      <c r="T35" s="11" t="str">
        <f t="shared" si="3"/>
        <v>Ya no cuenta con actualizaciones</v>
      </c>
      <c r="U35" s="9" t="s">
        <v>52</v>
      </c>
      <c r="V35" s="39" t="s">
        <v>52</v>
      </c>
      <c r="W35" s="9" t="s">
        <v>53</v>
      </c>
      <c r="X35" s="9" t="s">
        <v>48</v>
      </c>
      <c r="Y35" s="15">
        <f t="shared" si="4"/>
        <v>0.6666666667</v>
      </c>
      <c r="Z35" s="16" t="s">
        <v>55</v>
      </c>
      <c r="AA35" s="17">
        <v>45930.0</v>
      </c>
      <c r="AB35" s="9" t="s">
        <v>56</v>
      </c>
      <c r="AC35" s="16" t="s">
        <v>57</v>
      </c>
      <c r="AD35" s="9" t="s">
        <v>53</v>
      </c>
      <c r="AE35" s="18" t="str">
        <f t="shared" si="22"/>
        <v>#REF!</v>
      </c>
      <c r="AF35" s="18" t="str">
        <f t="shared" si="6"/>
        <v>#REF!</v>
      </c>
      <c r="AG35" s="18" t="str">
        <f t="shared" si="16"/>
        <v>#REF!</v>
      </c>
      <c r="AH35" s="18" t="s">
        <v>53</v>
      </c>
      <c r="AI35" s="19"/>
      <c r="AJ35" s="18" t="s">
        <v>58</v>
      </c>
      <c r="AK35" s="18" t="s">
        <v>52</v>
      </c>
      <c r="AL35" s="18" t="s">
        <v>59</v>
      </c>
      <c r="AM35" s="20" t="str">
        <f t="shared" si="17"/>
        <v>#REF!</v>
      </c>
      <c r="AN35" s="21"/>
    </row>
    <row r="36">
      <c r="A36" s="22">
        <v>476.0</v>
      </c>
      <c r="B36" s="23" t="s">
        <v>168</v>
      </c>
      <c r="C36" s="23" t="s">
        <v>124</v>
      </c>
      <c r="D36" s="24" t="s">
        <v>194</v>
      </c>
      <c r="E36" s="24" t="s">
        <v>195</v>
      </c>
      <c r="F36" s="24" t="s">
        <v>196</v>
      </c>
      <c r="G36" s="23" t="s">
        <v>78</v>
      </c>
      <c r="H36" s="25" t="s">
        <v>160</v>
      </c>
      <c r="I36" s="25" t="s">
        <v>90</v>
      </c>
      <c r="J36" s="27" t="s">
        <v>91</v>
      </c>
      <c r="K36" s="25" t="s">
        <v>45</v>
      </c>
      <c r="L36" s="23" t="s">
        <v>46</v>
      </c>
      <c r="M36" s="23" t="s">
        <v>47</v>
      </c>
      <c r="N36" s="23" t="s">
        <v>48</v>
      </c>
      <c r="O36" s="24" t="s">
        <v>80</v>
      </c>
      <c r="P36" s="24" t="s">
        <v>92</v>
      </c>
      <c r="Q36" s="24" t="s">
        <v>161</v>
      </c>
      <c r="R36" s="29" t="str">
        <f t="shared" si="1"/>
        <v>#NAME?</v>
      </c>
      <c r="S36" s="25" t="str">
        <f t="shared" si="2"/>
        <v>⛔ Sin datos</v>
      </c>
      <c r="T36" s="25" t="str">
        <f t="shared" si="3"/>
        <v>Ya no cuenta con actualizaciones</v>
      </c>
      <c r="U36" s="23" t="s">
        <v>52</v>
      </c>
      <c r="V36" s="23" t="s">
        <v>52</v>
      </c>
      <c r="W36" s="23" t="s">
        <v>53</v>
      </c>
      <c r="X36" s="23" t="s">
        <v>48</v>
      </c>
      <c r="Y36" s="30">
        <f t="shared" si="4"/>
        <v>0.6666666667</v>
      </c>
      <c r="Z36" s="31" t="s">
        <v>66</v>
      </c>
      <c r="AA36" s="31" t="s">
        <v>67</v>
      </c>
      <c r="AB36" s="31" t="s">
        <v>94</v>
      </c>
      <c r="AC36" s="31" t="s">
        <v>69</v>
      </c>
      <c r="AD36" s="23" t="s">
        <v>53</v>
      </c>
      <c r="AE36" s="32" t="str">
        <f t="shared" ref="AE36:AE42" si="23">VLOOKUP(E36,Falcon!B$2:C$558,2,FALSE)</f>
        <v>#REF!</v>
      </c>
      <c r="AF36" s="32" t="str">
        <f t="shared" si="6"/>
        <v>#REF!</v>
      </c>
      <c r="AG36" s="32" t="str">
        <f t="shared" si="16"/>
        <v>#REF!</v>
      </c>
      <c r="AH36" s="32" t="s">
        <v>53</v>
      </c>
      <c r="AI36" s="19"/>
      <c r="AJ36" s="32" t="s">
        <v>69</v>
      </c>
      <c r="AK36" s="32" t="s">
        <v>53</v>
      </c>
      <c r="AL36" s="19"/>
      <c r="AM36" s="33" t="str">
        <f t="shared" si="17"/>
        <v>#REF!</v>
      </c>
      <c r="AN36" s="21"/>
    </row>
    <row r="37">
      <c r="A37" s="22">
        <v>477.0</v>
      </c>
      <c r="B37" s="23" t="s">
        <v>168</v>
      </c>
      <c r="C37" s="23" t="s">
        <v>124</v>
      </c>
      <c r="D37" s="24" t="s">
        <v>197</v>
      </c>
      <c r="E37" s="24" t="s">
        <v>198</v>
      </c>
      <c r="F37" s="24" t="s">
        <v>199</v>
      </c>
      <c r="G37" s="23" t="s">
        <v>107</v>
      </c>
      <c r="H37" s="25" t="s">
        <v>160</v>
      </c>
      <c r="I37" s="25" t="s">
        <v>90</v>
      </c>
      <c r="J37" s="27" t="s">
        <v>91</v>
      </c>
      <c r="K37" s="25" t="s">
        <v>45</v>
      </c>
      <c r="L37" s="23" t="s">
        <v>46</v>
      </c>
      <c r="M37" s="23" t="s">
        <v>47</v>
      </c>
      <c r="N37" s="23" t="s">
        <v>48</v>
      </c>
      <c r="O37" s="24" t="s">
        <v>80</v>
      </c>
      <c r="P37" s="24" t="s">
        <v>92</v>
      </c>
      <c r="Q37" s="24" t="s">
        <v>161</v>
      </c>
      <c r="R37" s="29" t="str">
        <f t="shared" si="1"/>
        <v>#NAME?</v>
      </c>
      <c r="S37" s="25" t="str">
        <f t="shared" si="2"/>
        <v>⛔ Sin datos</v>
      </c>
      <c r="T37" s="25" t="str">
        <f t="shared" si="3"/>
        <v>Ya no cuenta con actualizaciones</v>
      </c>
      <c r="U37" s="23" t="s">
        <v>52</v>
      </c>
      <c r="V37" s="23" t="s">
        <v>52</v>
      </c>
      <c r="W37" s="23" t="s">
        <v>53</v>
      </c>
      <c r="X37" s="23" t="s">
        <v>48</v>
      </c>
      <c r="Y37" s="30">
        <f t="shared" si="4"/>
        <v>0.6666666667</v>
      </c>
      <c r="Z37" s="31" t="s">
        <v>66</v>
      </c>
      <c r="AA37" s="31" t="s">
        <v>67</v>
      </c>
      <c r="AB37" s="31" t="s">
        <v>94</v>
      </c>
      <c r="AC37" s="31" t="s">
        <v>69</v>
      </c>
      <c r="AD37" s="23" t="s">
        <v>53</v>
      </c>
      <c r="AE37" s="32" t="str">
        <f t="shared" si="23"/>
        <v>#REF!</v>
      </c>
      <c r="AF37" s="32" t="str">
        <f t="shared" si="6"/>
        <v>#REF!</v>
      </c>
      <c r="AG37" s="32" t="str">
        <f t="shared" si="16"/>
        <v>#REF!</v>
      </c>
      <c r="AH37" s="32" t="s">
        <v>53</v>
      </c>
      <c r="AI37" s="19"/>
      <c r="AJ37" s="32" t="s">
        <v>69</v>
      </c>
      <c r="AK37" s="32" t="s">
        <v>53</v>
      </c>
      <c r="AL37" s="19"/>
      <c r="AM37" s="33" t="str">
        <f t="shared" si="17"/>
        <v>#REF!</v>
      </c>
      <c r="AN37" s="21"/>
    </row>
    <row r="38">
      <c r="A38" s="22">
        <v>478.0</v>
      </c>
      <c r="B38" s="23" t="s">
        <v>168</v>
      </c>
      <c r="C38" s="23" t="s">
        <v>124</v>
      </c>
      <c r="D38" s="24" t="s">
        <v>200</v>
      </c>
      <c r="E38" s="24" t="s">
        <v>201</v>
      </c>
      <c r="F38" s="24" t="s">
        <v>202</v>
      </c>
      <c r="G38" s="23" t="s">
        <v>107</v>
      </c>
      <c r="H38" s="25" t="s">
        <v>160</v>
      </c>
      <c r="I38" s="25" t="s">
        <v>90</v>
      </c>
      <c r="J38" s="27" t="s">
        <v>91</v>
      </c>
      <c r="K38" s="25" t="s">
        <v>45</v>
      </c>
      <c r="L38" s="23" t="s">
        <v>46</v>
      </c>
      <c r="M38" s="23" t="s">
        <v>47</v>
      </c>
      <c r="N38" s="23" t="s">
        <v>48</v>
      </c>
      <c r="O38" s="24" t="s">
        <v>80</v>
      </c>
      <c r="P38" s="24" t="s">
        <v>92</v>
      </c>
      <c r="Q38" s="24" t="s">
        <v>161</v>
      </c>
      <c r="R38" s="29" t="str">
        <f t="shared" si="1"/>
        <v>#NAME?</v>
      </c>
      <c r="S38" s="25" t="str">
        <f t="shared" si="2"/>
        <v>⛔ Sin datos</v>
      </c>
      <c r="T38" s="25" t="str">
        <f t="shared" si="3"/>
        <v>Ya no cuenta con actualizaciones</v>
      </c>
      <c r="U38" s="23" t="s">
        <v>52</v>
      </c>
      <c r="V38" s="23" t="s">
        <v>52</v>
      </c>
      <c r="W38" s="23" t="s">
        <v>53</v>
      </c>
      <c r="X38" s="23" t="s">
        <v>48</v>
      </c>
      <c r="Y38" s="30">
        <f t="shared" si="4"/>
        <v>0.6666666667</v>
      </c>
      <c r="Z38" s="31" t="s">
        <v>66</v>
      </c>
      <c r="AA38" s="31" t="s">
        <v>67</v>
      </c>
      <c r="AB38" s="31" t="s">
        <v>94</v>
      </c>
      <c r="AC38" s="31" t="s">
        <v>69</v>
      </c>
      <c r="AD38" s="23" t="s">
        <v>53</v>
      </c>
      <c r="AE38" s="32" t="str">
        <f t="shared" si="23"/>
        <v>#REF!</v>
      </c>
      <c r="AF38" s="32" t="str">
        <f t="shared" si="6"/>
        <v>#REF!</v>
      </c>
      <c r="AG38" s="32" t="str">
        <f t="shared" si="16"/>
        <v>#REF!</v>
      </c>
      <c r="AH38" s="32" t="s">
        <v>53</v>
      </c>
      <c r="AI38" s="19"/>
      <c r="AJ38" s="32" t="s">
        <v>69</v>
      </c>
      <c r="AK38" s="32" t="s">
        <v>53</v>
      </c>
      <c r="AL38" s="19"/>
      <c r="AM38" s="33" t="str">
        <f t="shared" si="17"/>
        <v>#REF!</v>
      </c>
      <c r="AN38" s="21"/>
    </row>
    <row r="39">
      <c r="A39" s="22">
        <v>479.0</v>
      </c>
      <c r="B39" s="23" t="s">
        <v>168</v>
      </c>
      <c r="C39" s="23" t="s">
        <v>124</v>
      </c>
      <c r="D39" s="24" t="s">
        <v>203</v>
      </c>
      <c r="E39" s="24" t="s">
        <v>204</v>
      </c>
      <c r="F39" s="24" t="s">
        <v>205</v>
      </c>
      <c r="G39" s="23" t="s">
        <v>107</v>
      </c>
      <c r="H39" s="25" t="s">
        <v>160</v>
      </c>
      <c r="I39" s="25" t="s">
        <v>90</v>
      </c>
      <c r="J39" s="27" t="s">
        <v>91</v>
      </c>
      <c r="K39" s="25" t="s">
        <v>45</v>
      </c>
      <c r="L39" s="23" t="s">
        <v>46</v>
      </c>
      <c r="M39" s="23" t="s">
        <v>47</v>
      </c>
      <c r="N39" s="23" t="s">
        <v>48</v>
      </c>
      <c r="O39" s="24" t="s">
        <v>80</v>
      </c>
      <c r="P39" s="24" t="s">
        <v>92</v>
      </c>
      <c r="Q39" s="24" t="s">
        <v>161</v>
      </c>
      <c r="R39" s="29" t="str">
        <f t="shared" si="1"/>
        <v>#NAME?</v>
      </c>
      <c r="S39" s="25" t="str">
        <f t="shared" si="2"/>
        <v>⛔ Sin datos</v>
      </c>
      <c r="T39" s="25" t="str">
        <f t="shared" si="3"/>
        <v>Ya no cuenta con actualizaciones</v>
      </c>
      <c r="U39" s="23" t="s">
        <v>52</v>
      </c>
      <c r="V39" s="23" t="s">
        <v>52</v>
      </c>
      <c r="W39" s="23" t="s">
        <v>53</v>
      </c>
      <c r="X39" s="23" t="s">
        <v>48</v>
      </c>
      <c r="Y39" s="30">
        <f t="shared" si="4"/>
        <v>0.6666666667</v>
      </c>
      <c r="Z39" s="31" t="s">
        <v>66</v>
      </c>
      <c r="AA39" s="31" t="s">
        <v>67</v>
      </c>
      <c r="AB39" s="31" t="s">
        <v>94</v>
      </c>
      <c r="AC39" s="31" t="s">
        <v>69</v>
      </c>
      <c r="AD39" s="23" t="s">
        <v>53</v>
      </c>
      <c r="AE39" s="32" t="str">
        <f t="shared" si="23"/>
        <v>#REF!</v>
      </c>
      <c r="AF39" s="32" t="str">
        <f t="shared" si="6"/>
        <v>#REF!</v>
      </c>
      <c r="AG39" s="32" t="str">
        <f t="shared" si="16"/>
        <v>#REF!</v>
      </c>
      <c r="AH39" s="32" t="s">
        <v>53</v>
      </c>
      <c r="AI39" s="19"/>
      <c r="AJ39" s="32" t="s">
        <v>69</v>
      </c>
      <c r="AK39" s="32" t="s">
        <v>53</v>
      </c>
      <c r="AL39" s="19"/>
      <c r="AM39" s="33" t="str">
        <f t="shared" si="17"/>
        <v>#REF!</v>
      </c>
      <c r="AN39" s="21"/>
    </row>
    <row r="40">
      <c r="A40" s="22">
        <v>481.0</v>
      </c>
      <c r="B40" s="23" t="s">
        <v>206</v>
      </c>
      <c r="C40" s="23" t="s">
        <v>207</v>
      </c>
      <c r="D40" s="24" t="s">
        <v>208</v>
      </c>
      <c r="E40" s="24" t="s">
        <v>208</v>
      </c>
      <c r="F40" s="24" t="s">
        <v>209</v>
      </c>
      <c r="G40" s="23" t="s">
        <v>42</v>
      </c>
      <c r="H40" s="25" t="s">
        <v>210</v>
      </c>
      <c r="I40" s="26" t="s">
        <v>210</v>
      </c>
      <c r="J40" s="26" t="s">
        <v>211</v>
      </c>
      <c r="K40" s="25" t="s">
        <v>45</v>
      </c>
      <c r="L40" s="23" t="s">
        <v>46</v>
      </c>
      <c r="M40" s="23" t="s">
        <v>212</v>
      </c>
      <c r="N40" s="23" t="s">
        <v>48</v>
      </c>
      <c r="O40" s="24" t="s">
        <v>80</v>
      </c>
      <c r="P40" s="26" t="s">
        <v>213</v>
      </c>
      <c r="Q40" s="26" t="s">
        <v>214</v>
      </c>
      <c r="R40" s="29" t="str">
        <f t="shared" si="1"/>
        <v>#NAME?</v>
      </c>
      <c r="S40" s="25" t="str">
        <f t="shared" si="2"/>
        <v>⛔ Sin datos</v>
      </c>
      <c r="T40" s="25" t="str">
        <f t="shared" si="3"/>
        <v>Ya no cuenta con actualizaciones</v>
      </c>
      <c r="U40" s="23" t="s">
        <v>52</v>
      </c>
      <c r="V40" s="23" t="s">
        <v>53</v>
      </c>
      <c r="W40" s="23" t="s">
        <v>53</v>
      </c>
      <c r="X40" s="23" t="s">
        <v>53</v>
      </c>
      <c r="Y40" s="30">
        <f t="shared" si="4"/>
        <v>0.25</v>
      </c>
      <c r="Z40" s="23" t="s">
        <v>66</v>
      </c>
      <c r="AA40" s="23" t="s">
        <v>67</v>
      </c>
      <c r="AB40" s="23" t="s">
        <v>56</v>
      </c>
      <c r="AC40" s="23" t="s">
        <v>69</v>
      </c>
      <c r="AD40" s="23" t="s">
        <v>53</v>
      </c>
      <c r="AE40" s="32" t="str">
        <f t="shared" si="23"/>
        <v>#REF!</v>
      </c>
      <c r="AF40" s="32" t="str">
        <f t="shared" si="6"/>
        <v>#REF!</v>
      </c>
      <c r="AG40" s="32" t="str">
        <f t="shared" si="16"/>
        <v>#REF!</v>
      </c>
      <c r="AH40" s="32" t="s">
        <v>53</v>
      </c>
      <c r="AI40" s="19"/>
      <c r="AJ40" s="32" t="s">
        <v>58</v>
      </c>
      <c r="AK40" s="32" t="s">
        <v>53</v>
      </c>
      <c r="AL40" s="19"/>
      <c r="AM40" s="33" t="str">
        <f t="shared" si="17"/>
        <v>#REF!</v>
      </c>
      <c r="AN40" s="32" t="s">
        <v>52</v>
      </c>
    </row>
    <row r="41">
      <c r="A41" s="22">
        <v>482.0</v>
      </c>
      <c r="B41" s="23" t="s">
        <v>206</v>
      </c>
      <c r="C41" s="23" t="s">
        <v>207</v>
      </c>
      <c r="D41" s="24" t="s">
        <v>215</v>
      </c>
      <c r="E41" s="24" t="s">
        <v>215</v>
      </c>
      <c r="F41" s="24" t="s">
        <v>216</v>
      </c>
      <c r="G41" s="23" t="s">
        <v>42</v>
      </c>
      <c r="H41" s="25" t="s">
        <v>210</v>
      </c>
      <c r="I41" s="26" t="s">
        <v>210</v>
      </c>
      <c r="J41" s="26" t="s">
        <v>211</v>
      </c>
      <c r="K41" s="25" t="s">
        <v>45</v>
      </c>
      <c r="L41" s="23" t="s">
        <v>46</v>
      </c>
      <c r="M41" s="23" t="s">
        <v>212</v>
      </c>
      <c r="N41" s="23" t="s">
        <v>48</v>
      </c>
      <c r="O41" s="24" t="s">
        <v>80</v>
      </c>
      <c r="P41" s="26" t="s">
        <v>213</v>
      </c>
      <c r="Q41" s="26" t="s">
        <v>214</v>
      </c>
      <c r="R41" s="29" t="str">
        <f t="shared" si="1"/>
        <v>#NAME?</v>
      </c>
      <c r="S41" s="25" t="str">
        <f t="shared" si="2"/>
        <v>⛔ Sin datos</v>
      </c>
      <c r="T41" s="25" t="str">
        <f t="shared" si="3"/>
        <v>Ya no cuenta con actualizaciones</v>
      </c>
      <c r="U41" s="23" t="s">
        <v>52</v>
      </c>
      <c r="V41" s="23" t="s">
        <v>53</v>
      </c>
      <c r="W41" s="23" t="s">
        <v>53</v>
      </c>
      <c r="X41" s="23" t="s">
        <v>53</v>
      </c>
      <c r="Y41" s="30">
        <f t="shared" si="4"/>
        <v>0.25</v>
      </c>
      <c r="Z41" s="31" t="s">
        <v>66</v>
      </c>
      <c r="AA41" s="31" t="s">
        <v>67</v>
      </c>
      <c r="AB41" s="23" t="s">
        <v>56</v>
      </c>
      <c r="AC41" s="31" t="s">
        <v>69</v>
      </c>
      <c r="AD41" s="23" t="s">
        <v>53</v>
      </c>
      <c r="AE41" s="32" t="str">
        <f t="shared" si="23"/>
        <v>#REF!</v>
      </c>
      <c r="AF41" s="32" t="str">
        <f t="shared" si="6"/>
        <v>#REF!</v>
      </c>
      <c r="AG41" s="32" t="str">
        <f t="shared" si="16"/>
        <v>#REF!</v>
      </c>
      <c r="AH41" s="32" t="s">
        <v>53</v>
      </c>
      <c r="AI41" s="19"/>
      <c r="AJ41" s="32" t="s">
        <v>58</v>
      </c>
      <c r="AK41" s="32" t="s">
        <v>53</v>
      </c>
      <c r="AL41" s="19"/>
      <c r="AM41" s="33" t="str">
        <f t="shared" si="17"/>
        <v>#REF!</v>
      </c>
      <c r="AN41" s="32" t="s">
        <v>52</v>
      </c>
    </row>
    <row r="42">
      <c r="A42" s="22">
        <v>483.0</v>
      </c>
      <c r="B42" s="23" t="s">
        <v>206</v>
      </c>
      <c r="C42" s="23" t="s">
        <v>207</v>
      </c>
      <c r="D42" s="24" t="s">
        <v>217</v>
      </c>
      <c r="E42" s="24" t="s">
        <v>217</v>
      </c>
      <c r="F42" s="24" t="s">
        <v>218</v>
      </c>
      <c r="G42" s="23" t="s">
        <v>42</v>
      </c>
      <c r="H42" s="25" t="s">
        <v>210</v>
      </c>
      <c r="I42" s="26" t="s">
        <v>210</v>
      </c>
      <c r="J42" s="26" t="s">
        <v>211</v>
      </c>
      <c r="K42" s="25" t="s">
        <v>45</v>
      </c>
      <c r="L42" s="23" t="s">
        <v>46</v>
      </c>
      <c r="M42" s="23" t="s">
        <v>212</v>
      </c>
      <c r="N42" s="23" t="s">
        <v>48</v>
      </c>
      <c r="O42" s="24" t="s">
        <v>80</v>
      </c>
      <c r="P42" s="25" t="s">
        <v>213</v>
      </c>
      <c r="Q42" s="26" t="s">
        <v>214</v>
      </c>
      <c r="R42" s="29" t="str">
        <f t="shared" si="1"/>
        <v>#NAME?</v>
      </c>
      <c r="S42" s="25" t="str">
        <f t="shared" si="2"/>
        <v>⛔ Sin datos</v>
      </c>
      <c r="T42" s="25" t="str">
        <f t="shared" si="3"/>
        <v>Ya no cuenta con actualizaciones</v>
      </c>
      <c r="U42" s="23" t="s">
        <v>52</v>
      </c>
      <c r="V42" s="23" t="s">
        <v>53</v>
      </c>
      <c r="W42" s="23" t="s">
        <v>53</v>
      </c>
      <c r="X42" s="23" t="s">
        <v>53</v>
      </c>
      <c r="Y42" s="30">
        <f t="shared" si="4"/>
        <v>0.25</v>
      </c>
      <c r="Z42" s="23" t="s">
        <v>66</v>
      </c>
      <c r="AA42" s="23" t="s">
        <v>67</v>
      </c>
      <c r="AB42" s="23" t="s">
        <v>56</v>
      </c>
      <c r="AC42" s="23" t="s">
        <v>69</v>
      </c>
      <c r="AD42" s="23" t="s">
        <v>53</v>
      </c>
      <c r="AE42" s="32" t="str">
        <f t="shared" si="23"/>
        <v>#REF!</v>
      </c>
      <c r="AF42" s="32" t="str">
        <f t="shared" si="6"/>
        <v>#REF!</v>
      </c>
      <c r="AG42" s="32" t="str">
        <f t="shared" si="16"/>
        <v>#REF!</v>
      </c>
      <c r="AH42" s="32" t="s">
        <v>53</v>
      </c>
      <c r="AI42" s="19"/>
      <c r="AJ42" s="32" t="s">
        <v>58</v>
      </c>
      <c r="AK42" s="32" t="s">
        <v>53</v>
      </c>
      <c r="AL42" s="19"/>
      <c r="AM42" s="33" t="str">
        <f t="shared" si="17"/>
        <v>#REF!</v>
      </c>
      <c r="AN42" s="32" t="s">
        <v>52</v>
      </c>
    </row>
    <row r="43">
      <c r="A43" s="8">
        <v>522.0</v>
      </c>
      <c r="B43" s="9" t="s">
        <v>206</v>
      </c>
      <c r="C43" s="9" t="s">
        <v>207</v>
      </c>
      <c r="D43" s="10" t="s">
        <v>219</v>
      </c>
      <c r="E43" s="10" t="s">
        <v>219</v>
      </c>
      <c r="F43" s="10" t="s">
        <v>220</v>
      </c>
      <c r="G43" s="9" t="s">
        <v>42</v>
      </c>
      <c r="H43" s="11" t="s">
        <v>221</v>
      </c>
      <c r="I43" s="11" t="s">
        <v>221</v>
      </c>
      <c r="J43" s="11" t="s">
        <v>222</v>
      </c>
      <c r="K43" s="11" t="s">
        <v>45</v>
      </c>
      <c r="L43" s="9" t="s">
        <v>46</v>
      </c>
      <c r="M43" s="9" t="s">
        <v>212</v>
      </c>
      <c r="N43" s="9" t="s">
        <v>48</v>
      </c>
      <c r="O43" s="10" t="s">
        <v>80</v>
      </c>
      <c r="P43" s="13" t="s">
        <v>213</v>
      </c>
      <c r="Q43" s="11" t="s">
        <v>214</v>
      </c>
      <c r="R43" s="14" t="str">
        <f t="shared" si="1"/>
        <v>#NAME?</v>
      </c>
      <c r="S43" s="11" t="str">
        <f t="shared" si="2"/>
        <v>⛔ Sin datos</v>
      </c>
      <c r="T43" s="11" t="str">
        <f t="shared" si="3"/>
        <v>Ya no cuenta con actualizaciones</v>
      </c>
      <c r="U43" s="9" t="s">
        <v>52</v>
      </c>
      <c r="V43" s="9" t="s">
        <v>53</v>
      </c>
      <c r="W43" s="9" t="s">
        <v>53</v>
      </c>
      <c r="X43" s="9" t="s">
        <v>53</v>
      </c>
      <c r="Y43" s="15">
        <f t="shared" si="4"/>
        <v>0.25</v>
      </c>
      <c r="Z43" s="16" t="s">
        <v>223</v>
      </c>
      <c r="AA43" s="17">
        <v>46752.0</v>
      </c>
      <c r="AB43" s="9" t="s">
        <v>56</v>
      </c>
      <c r="AC43" s="16" t="s">
        <v>58</v>
      </c>
      <c r="AD43" s="9" t="s">
        <v>53</v>
      </c>
      <c r="AE43" s="18" t="str">
        <f>VLOOKUP(D43,Falcon!B$2:C$558,2,FALSE)</f>
        <v>#REF!</v>
      </c>
      <c r="AF43" s="18" t="str">
        <f t="shared" si="6"/>
        <v>#REF!</v>
      </c>
      <c r="AG43" s="18" t="str">
        <f t="shared" si="16"/>
        <v>#REF!</v>
      </c>
      <c r="AH43" s="18" t="s">
        <v>53</v>
      </c>
      <c r="AI43" s="19"/>
      <c r="AJ43" s="18" t="s">
        <v>58</v>
      </c>
      <c r="AK43" s="18" t="s">
        <v>52</v>
      </c>
      <c r="AL43" s="19"/>
      <c r="AM43" s="20" t="str">
        <f t="shared" si="17"/>
        <v>#REF!</v>
      </c>
      <c r="AN43" s="37" t="s">
        <v>52</v>
      </c>
    </row>
    <row r="44">
      <c r="A44" s="8">
        <v>523.0</v>
      </c>
      <c r="B44" s="9" t="s">
        <v>224</v>
      </c>
      <c r="C44" s="9" t="s">
        <v>207</v>
      </c>
      <c r="D44" s="10" t="s">
        <v>225</v>
      </c>
      <c r="E44" s="10" t="s">
        <v>225</v>
      </c>
      <c r="F44" s="10" t="s">
        <v>226</v>
      </c>
      <c r="G44" s="9" t="s">
        <v>227</v>
      </c>
      <c r="H44" s="11" t="s">
        <v>221</v>
      </c>
      <c r="I44" s="11" t="s">
        <v>221</v>
      </c>
      <c r="J44" s="11" t="s">
        <v>222</v>
      </c>
      <c r="K44" s="11" t="s">
        <v>45</v>
      </c>
      <c r="L44" s="9" t="s">
        <v>46</v>
      </c>
      <c r="M44" s="9" t="s">
        <v>212</v>
      </c>
      <c r="N44" s="9" t="s">
        <v>48</v>
      </c>
      <c r="O44" s="10" t="s">
        <v>80</v>
      </c>
      <c r="P44" s="13" t="s">
        <v>213</v>
      </c>
      <c r="Q44" s="11" t="s">
        <v>214</v>
      </c>
      <c r="R44" s="14" t="str">
        <f t="shared" si="1"/>
        <v>#NAME?</v>
      </c>
      <c r="S44" s="11" t="str">
        <f t="shared" si="2"/>
        <v>⛔ Sin datos</v>
      </c>
      <c r="T44" s="11" t="str">
        <f t="shared" si="3"/>
        <v>Ya no cuenta con actualizaciones</v>
      </c>
      <c r="U44" s="9" t="s">
        <v>52</v>
      </c>
      <c r="V44" s="9" t="s">
        <v>53</v>
      </c>
      <c r="W44" s="9" t="s">
        <v>53</v>
      </c>
      <c r="X44" s="9" t="s">
        <v>53</v>
      </c>
      <c r="Y44" s="15">
        <f t="shared" si="4"/>
        <v>0.25</v>
      </c>
      <c r="Z44" s="16" t="s">
        <v>223</v>
      </c>
      <c r="AA44" s="17">
        <v>46752.0</v>
      </c>
      <c r="AB44" s="9" t="s">
        <v>56</v>
      </c>
      <c r="AC44" s="16" t="s">
        <v>58</v>
      </c>
      <c r="AD44" s="9" t="s">
        <v>53</v>
      </c>
      <c r="AE44" s="18" t="str">
        <f t="shared" ref="AE44:AE55" si="24">VLOOKUP(E44,Falcon!B$2:C$558,2,FALSE)</f>
        <v>#REF!</v>
      </c>
      <c r="AF44" s="18" t="str">
        <f t="shared" si="6"/>
        <v>#REF!</v>
      </c>
      <c r="AG44" s="18" t="str">
        <f t="shared" si="16"/>
        <v>#REF!</v>
      </c>
      <c r="AH44" s="18" t="s">
        <v>53</v>
      </c>
      <c r="AI44" s="19"/>
      <c r="AJ44" s="18" t="s">
        <v>58</v>
      </c>
      <c r="AK44" s="18" t="s">
        <v>52</v>
      </c>
      <c r="AL44" s="19"/>
      <c r="AM44" s="20" t="str">
        <f t="shared" si="17"/>
        <v>#REF!</v>
      </c>
      <c r="AN44" s="37" t="s">
        <v>52</v>
      </c>
    </row>
    <row r="45">
      <c r="A45" s="8">
        <v>524.0</v>
      </c>
      <c r="B45" s="9" t="s">
        <v>206</v>
      </c>
      <c r="C45" s="9" t="s">
        <v>207</v>
      </c>
      <c r="D45" s="10" t="s">
        <v>228</v>
      </c>
      <c r="E45" s="10" t="s">
        <v>228</v>
      </c>
      <c r="F45" s="10" t="s">
        <v>229</v>
      </c>
      <c r="G45" s="9" t="s">
        <v>42</v>
      </c>
      <c r="H45" s="11" t="s">
        <v>221</v>
      </c>
      <c r="I45" s="11" t="s">
        <v>221</v>
      </c>
      <c r="J45" s="11" t="s">
        <v>222</v>
      </c>
      <c r="K45" s="11" t="s">
        <v>45</v>
      </c>
      <c r="L45" s="9" t="s">
        <v>46</v>
      </c>
      <c r="M45" s="9" t="s">
        <v>212</v>
      </c>
      <c r="N45" s="9" t="s">
        <v>48</v>
      </c>
      <c r="O45" s="10" t="s">
        <v>80</v>
      </c>
      <c r="P45" s="11" t="s">
        <v>213</v>
      </c>
      <c r="Q45" s="11" t="s">
        <v>214</v>
      </c>
      <c r="R45" s="14" t="str">
        <f t="shared" si="1"/>
        <v>#NAME?</v>
      </c>
      <c r="S45" s="11" t="str">
        <f t="shared" si="2"/>
        <v>⛔ Sin datos</v>
      </c>
      <c r="T45" s="11" t="str">
        <f t="shared" si="3"/>
        <v>Ya no cuenta con actualizaciones</v>
      </c>
      <c r="U45" s="9" t="s">
        <v>52</v>
      </c>
      <c r="V45" s="9" t="s">
        <v>53</v>
      </c>
      <c r="W45" s="9" t="s">
        <v>53</v>
      </c>
      <c r="X45" s="9" t="s">
        <v>53</v>
      </c>
      <c r="Y45" s="15">
        <f t="shared" si="4"/>
        <v>0.25</v>
      </c>
      <c r="Z45" s="16" t="s">
        <v>223</v>
      </c>
      <c r="AA45" s="17">
        <v>46752.0</v>
      </c>
      <c r="AB45" s="9" t="s">
        <v>56</v>
      </c>
      <c r="AC45" s="16" t="s">
        <v>58</v>
      </c>
      <c r="AD45" s="9" t="s">
        <v>53</v>
      </c>
      <c r="AE45" s="18" t="str">
        <f t="shared" si="24"/>
        <v>#REF!</v>
      </c>
      <c r="AF45" s="18" t="str">
        <f t="shared" si="6"/>
        <v>#REF!</v>
      </c>
      <c r="AG45" s="18" t="str">
        <f t="shared" si="16"/>
        <v>#REF!</v>
      </c>
      <c r="AH45" s="18" t="s">
        <v>53</v>
      </c>
      <c r="AI45" s="19"/>
      <c r="AJ45" s="18" t="s">
        <v>58</v>
      </c>
      <c r="AK45" s="18" t="s">
        <v>52</v>
      </c>
      <c r="AL45" s="19"/>
      <c r="AM45" s="20" t="str">
        <f t="shared" si="17"/>
        <v>#REF!</v>
      </c>
      <c r="AN45" s="37" t="s">
        <v>52</v>
      </c>
    </row>
    <row r="46">
      <c r="A46" s="8">
        <v>525.0</v>
      </c>
      <c r="B46" s="9" t="s">
        <v>224</v>
      </c>
      <c r="C46" s="9" t="s">
        <v>207</v>
      </c>
      <c r="D46" s="10" t="s">
        <v>230</v>
      </c>
      <c r="E46" s="10" t="s">
        <v>230</v>
      </c>
      <c r="F46" s="10" t="s">
        <v>231</v>
      </c>
      <c r="G46" s="9" t="s">
        <v>42</v>
      </c>
      <c r="H46" s="11" t="s">
        <v>221</v>
      </c>
      <c r="I46" s="11" t="s">
        <v>221</v>
      </c>
      <c r="J46" s="11" t="s">
        <v>222</v>
      </c>
      <c r="K46" s="11" t="s">
        <v>45</v>
      </c>
      <c r="L46" s="9" t="s">
        <v>46</v>
      </c>
      <c r="M46" s="9" t="s">
        <v>212</v>
      </c>
      <c r="N46" s="9" t="s">
        <v>48</v>
      </c>
      <c r="O46" s="10" t="s">
        <v>80</v>
      </c>
      <c r="P46" s="11" t="s">
        <v>213</v>
      </c>
      <c r="Q46" s="11" t="s">
        <v>214</v>
      </c>
      <c r="R46" s="14" t="str">
        <f t="shared" si="1"/>
        <v>#NAME?</v>
      </c>
      <c r="S46" s="11" t="str">
        <f t="shared" si="2"/>
        <v>⛔ Sin datos</v>
      </c>
      <c r="T46" s="11" t="str">
        <f t="shared" si="3"/>
        <v>Ya no cuenta con actualizaciones</v>
      </c>
      <c r="U46" s="9" t="s">
        <v>52</v>
      </c>
      <c r="V46" s="9" t="s">
        <v>53</v>
      </c>
      <c r="W46" s="9" t="s">
        <v>53</v>
      </c>
      <c r="X46" s="9" t="s">
        <v>53</v>
      </c>
      <c r="Y46" s="15">
        <f t="shared" si="4"/>
        <v>0.25</v>
      </c>
      <c r="Z46" s="40" t="s">
        <v>223</v>
      </c>
      <c r="AA46" s="17">
        <v>46752.0</v>
      </c>
      <c r="AB46" s="9" t="s">
        <v>56</v>
      </c>
      <c r="AC46" s="9" t="s">
        <v>58</v>
      </c>
      <c r="AD46" s="9" t="s">
        <v>53</v>
      </c>
      <c r="AE46" s="18" t="str">
        <f t="shared" si="24"/>
        <v>#REF!</v>
      </c>
      <c r="AF46" s="18" t="str">
        <f t="shared" si="6"/>
        <v>#REF!</v>
      </c>
      <c r="AG46" s="18" t="str">
        <f t="shared" si="16"/>
        <v>#REF!</v>
      </c>
      <c r="AH46" s="18" t="s">
        <v>53</v>
      </c>
      <c r="AI46" s="19"/>
      <c r="AJ46" s="18" t="s">
        <v>58</v>
      </c>
      <c r="AK46" s="18" t="s">
        <v>52</v>
      </c>
      <c r="AL46" s="19"/>
      <c r="AM46" s="20" t="str">
        <f t="shared" si="17"/>
        <v>#REF!</v>
      </c>
      <c r="AN46" s="37" t="s">
        <v>52</v>
      </c>
    </row>
    <row r="47">
      <c r="A47" s="8">
        <v>526.0</v>
      </c>
      <c r="B47" s="9" t="s">
        <v>206</v>
      </c>
      <c r="C47" s="9" t="s">
        <v>207</v>
      </c>
      <c r="D47" s="10" t="s">
        <v>232</v>
      </c>
      <c r="E47" s="10" t="s">
        <v>232</v>
      </c>
      <c r="F47" s="10" t="s">
        <v>233</v>
      </c>
      <c r="G47" s="9" t="s">
        <v>42</v>
      </c>
      <c r="H47" s="11" t="s">
        <v>221</v>
      </c>
      <c r="I47" s="11" t="s">
        <v>221</v>
      </c>
      <c r="J47" s="11" t="s">
        <v>222</v>
      </c>
      <c r="K47" s="11" t="s">
        <v>45</v>
      </c>
      <c r="L47" s="9" t="s">
        <v>46</v>
      </c>
      <c r="M47" s="9" t="s">
        <v>212</v>
      </c>
      <c r="N47" s="9" t="s">
        <v>48</v>
      </c>
      <c r="O47" s="10" t="s">
        <v>80</v>
      </c>
      <c r="P47" s="11" t="s">
        <v>213</v>
      </c>
      <c r="Q47" s="11" t="s">
        <v>214</v>
      </c>
      <c r="R47" s="14" t="str">
        <f t="shared" si="1"/>
        <v>#NAME?</v>
      </c>
      <c r="S47" s="11" t="str">
        <f t="shared" si="2"/>
        <v>⛔ Sin datos</v>
      </c>
      <c r="T47" s="11" t="str">
        <f t="shared" si="3"/>
        <v>Ya no cuenta con actualizaciones</v>
      </c>
      <c r="U47" s="9" t="s">
        <v>52</v>
      </c>
      <c r="V47" s="9" t="s">
        <v>53</v>
      </c>
      <c r="W47" s="9" t="s">
        <v>53</v>
      </c>
      <c r="X47" s="9" t="s">
        <v>53</v>
      </c>
      <c r="Y47" s="15">
        <f t="shared" si="4"/>
        <v>0.25</v>
      </c>
      <c r="Z47" s="16" t="s">
        <v>223</v>
      </c>
      <c r="AA47" s="17">
        <v>46752.0</v>
      </c>
      <c r="AB47" s="9" t="s">
        <v>56</v>
      </c>
      <c r="AC47" s="16" t="s">
        <v>58</v>
      </c>
      <c r="AD47" s="9" t="s">
        <v>53</v>
      </c>
      <c r="AE47" s="18" t="str">
        <f t="shared" si="24"/>
        <v>#REF!</v>
      </c>
      <c r="AF47" s="18" t="str">
        <f t="shared" si="6"/>
        <v>#REF!</v>
      </c>
      <c r="AG47" s="18" t="str">
        <f t="shared" si="16"/>
        <v>#REF!</v>
      </c>
      <c r="AH47" s="18" t="s">
        <v>53</v>
      </c>
      <c r="AI47" s="19"/>
      <c r="AJ47" s="18" t="s">
        <v>58</v>
      </c>
      <c r="AK47" s="18" t="s">
        <v>52</v>
      </c>
      <c r="AL47" s="19"/>
      <c r="AM47" s="20" t="str">
        <f t="shared" si="17"/>
        <v>#REF!</v>
      </c>
      <c r="AN47" s="37" t="s">
        <v>52</v>
      </c>
    </row>
    <row r="48">
      <c r="A48" s="8">
        <v>527.0</v>
      </c>
      <c r="B48" s="9" t="s">
        <v>224</v>
      </c>
      <c r="C48" s="9" t="s">
        <v>207</v>
      </c>
      <c r="D48" s="10" t="s">
        <v>234</v>
      </c>
      <c r="E48" s="10" t="s">
        <v>234</v>
      </c>
      <c r="F48" s="10" t="s">
        <v>235</v>
      </c>
      <c r="G48" s="9" t="s">
        <v>227</v>
      </c>
      <c r="H48" s="11" t="s">
        <v>221</v>
      </c>
      <c r="I48" s="11" t="s">
        <v>221</v>
      </c>
      <c r="J48" s="11" t="s">
        <v>222</v>
      </c>
      <c r="K48" s="11" t="s">
        <v>45</v>
      </c>
      <c r="L48" s="9" t="s">
        <v>46</v>
      </c>
      <c r="M48" s="9" t="s">
        <v>212</v>
      </c>
      <c r="N48" s="9" t="s">
        <v>48</v>
      </c>
      <c r="O48" s="10" t="s">
        <v>80</v>
      </c>
      <c r="P48" s="11" t="s">
        <v>213</v>
      </c>
      <c r="Q48" s="11" t="s">
        <v>214</v>
      </c>
      <c r="R48" s="14" t="str">
        <f t="shared" si="1"/>
        <v>#NAME?</v>
      </c>
      <c r="S48" s="11" t="str">
        <f t="shared" si="2"/>
        <v>⛔ Sin datos</v>
      </c>
      <c r="T48" s="11" t="str">
        <f t="shared" si="3"/>
        <v>Ya no cuenta con actualizaciones</v>
      </c>
      <c r="U48" s="9" t="s">
        <v>52</v>
      </c>
      <c r="V48" s="9" t="s">
        <v>53</v>
      </c>
      <c r="W48" s="9" t="s">
        <v>53</v>
      </c>
      <c r="X48" s="9" t="s">
        <v>53</v>
      </c>
      <c r="Y48" s="15">
        <f t="shared" si="4"/>
        <v>0.25</v>
      </c>
      <c r="Z48" s="16" t="s">
        <v>223</v>
      </c>
      <c r="AA48" s="17">
        <v>46752.0</v>
      </c>
      <c r="AB48" s="9" t="s">
        <v>56</v>
      </c>
      <c r="AC48" s="16" t="s">
        <v>58</v>
      </c>
      <c r="AD48" s="9" t="s">
        <v>53</v>
      </c>
      <c r="AE48" s="18" t="str">
        <f t="shared" si="24"/>
        <v>#REF!</v>
      </c>
      <c r="AF48" s="18" t="str">
        <f t="shared" si="6"/>
        <v>#REF!</v>
      </c>
      <c r="AG48" s="18" t="str">
        <f t="shared" si="16"/>
        <v>#REF!</v>
      </c>
      <c r="AH48" s="18" t="s">
        <v>53</v>
      </c>
      <c r="AI48" s="19"/>
      <c r="AJ48" s="18" t="s">
        <v>58</v>
      </c>
      <c r="AK48" s="18" t="s">
        <v>52</v>
      </c>
      <c r="AL48" s="19"/>
      <c r="AM48" s="20" t="str">
        <f t="shared" si="17"/>
        <v>#REF!</v>
      </c>
      <c r="AN48" s="37" t="s">
        <v>52</v>
      </c>
    </row>
    <row r="49">
      <c r="A49" s="8">
        <v>528.0</v>
      </c>
      <c r="B49" s="9" t="s">
        <v>206</v>
      </c>
      <c r="C49" s="9" t="s">
        <v>207</v>
      </c>
      <c r="D49" s="10" t="s">
        <v>236</v>
      </c>
      <c r="E49" s="10" t="s">
        <v>236</v>
      </c>
      <c r="F49" s="10" t="s">
        <v>237</v>
      </c>
      <c r="G49" s="9" t="s">
        <v>42</v>
      </c>
      <c r="H49" s="11" t="s">
        <v>221</v>
      </c>
      <c r="I49" s="11" t="s">
        <v>221</v>
      </c>
      <c r="J49" s="11" t="s">
        <v>222</v>
      </c>
      <c r="K49" s="11" t="s">
        <v>45</v>
      </c>
      <c r="L49" s="9" t="s">
        <v>46</v>
      </c>
      <c r="M49" s="9" t="s">
        <v>212</v>
      </c>
      <c r="N49" s="9" t="s">
        <v>48</v>
      </c>
      <c r="O49" s="10" t="s">
        <v>80</v>
      </c>
      <c r="P49" s="11" t="s">
        <v>213</v>
      </c>
      <c r="Q49" s="11" t="s">
        <v>214</v>
      </c>
      <c r="R49" s="14" t="str">
        <f t="shared" si="1"/>
        <v>#NAME?</v>
      </c>
      <c r="S49" s="11" t="str">
        <f t="shared" si="2"/>
        <v>⛔ Sin datos</v>
      </c>
      <c r="T49" s="11" t="str">
        <f t="shared" si="3"/>
        <v>Ya no cuenta con actualizaciones</v>
      </c>
      <c r="U49" s="9" t="s">
        <v>52</v>
      </c>
      <c r="V49" s="9" t="s">
        <v>53</v>
      </c>
      <c r="W49" s="9" t="s">
        <v>53</v>
      </c>
      <c r="X49" s="9" t="s">
        <v>53</v>
      </c>
      <c r="Y49" s="15">
        <f t="shared" si="4"/>
        <v>0.25</v>
      </c>
      <c r="Z49" s="16" t="s">
        <v>223</v>
      </c>
      <c r="AA49" s="17">
        <v>46752.0</v>
      </c>
      <c r="AB49" s="9" t="s">
        <v>56</v>
      </c>
      <c r="AC49" s="16" t="s">
        <v>58</v>
      </c>
      <c r="AD49" s="9" t="s">
        <v>53</v>
      </c>
      <c r="AE49" s="18" t="str">
        <f t="shared" si="24"/>
        <v>#REF!</v>
      </c>
      <c r="AF49" s="18" t="str">
        <f t="shared" si="6"/>
        <v>#REF!</v>
      </c>
      <c r="AG49" s="18" t="str">
        <f t="shared" si="16"/>
        <v>#REF!</v>
      </c>
      <c r="AH49" s="18" t="s">
        <v>53</v>
      </c>
      <c r="AI49" s="19"/>
      <c r="AJ49" s="9" t="s">
        <v>58</v>
      </c>
      <c r="AK49" s="18" t="s">
        <v>52</v>
      </c>
      <c r="AL49" s="19"/>
      <c r="AM49" s="20" t="str">
        <f t="shared" si="17"/>
        <v>#REF!</v>
      </c>
      <c r="AN49" s="37" t="s">
        <v>52</v>
      </c>
    </row>
    <row r="50">
      <c r="A50" s="8">
        <v>529.0</v>
      </c>
      <c r="B50" s="9" t="s">
        <v>224</v>
      </c>
      <c r="C50" s="9" t="s">
        <v>207</v>
      </c>
      <c r="D50" s="10" t="s">
        <v>238</v>
      </c>
      <c r="E50" s="10" t="s">
        <v>238</v>
      </c>
      <c r="F50" s="10" t="s">
        <v>239</v>
      </c>
      <c r="G50" s="9" t="s">
        <v>227</v>
      </c>
      <c r="H50" s="11" t="s">
        <v>221</v>
      </c>
      <c r="I50" s="11" t="s">
        <v>221</v>
      </c>
      <c r="J50" s="11" t="s">
        <v>222</v>
      </c>
      <c r="K50" s="11" t="s">
        <v>45</v>
      </c>
      <c r="L50" s="9" t="s">
        <v>46</v>
      </c>
      <c r="M50" s="9" t="s">
        <v>212</v>
      </c>
      <c r="N50" s="9" t="s">
        <v>48</v>
      </c>
      <c r="O50" s="10" t="s">
        <v>80</v>
      </c>
      <c r="P50" s="11" t="s">
        <v>213</v>
      </c>
      <c r="Q50" s="11" t="s">
        <v>214</v>
      </c>
      <c r="R50" s="14" t="str">
        <f t="shared" si="1"/>
        <v>#NAME?</v>
      </c>
      <c r="S50" s="11" t="str">
        <f t="shared" si="2"/>
        <v>⛔ Sin datos</v>
      </c>
      <c r="T50" s="11" t="str">
        <f t="shared" si="3"/>
        <v>Ya no cuenta con actualizaciones</v>
      </c>
      <c r="U50" s="9" t="s">
        <v>52</v>
      </c>
      <c r="V50" s="9" t="s">
        <v>53</v>
      </c>
      <c r="W50" s="9" t="s">
        <v>53</v>
      </c>
      <c r="X50" s="9" t="s">
        <v>53</v>
      </c>
      <c r="Y50" s="15">
        <f t="shared" si="4"/>
        <v>0.25</v>
      </c>
      <c r="Z50" s="40" t="s">
        <v>223</v>
      </c>
      <c r="AA50" s="17">
        <v>46752.0</v>
      </c>
      <c r="AB50" s="9" t="s">
        <v>56</v>
      </c>
      <c r="AC50" s="9" t="s">
        <v>58</v>
      </c>
      <c r="AD50" s="9" t="s">
        <v>53</v>
      </c>
      <c r="AE50" s="18" t="str">
        <f t="shared" si="24"/>
        <v>#REF!</v>
      </c>
      <c r="AF50" s="18" t="str">
        <f t="shared" si="6"/>
        <v>#REF!</v>
      </c>
      <c r="AG50" s="18" t="str">
        <f t="shared" si="16"/>
        <v>#REF!</v>
      </c>
      <c r="AH50" s="18" t="s">
        <v>53</v>
      </c>
      <c r="AI50" s="19"/>
      <c r="AJ50" s="18" t="s">
        <v>58</v>
      </c>
      <c r="AK50" s="18" t="s">
        <v>52</v>
      </c>
      <c r="AL50" s="19"/>
      <c r="AM50" s="20" t="str">
        <f t="shared" si="17"/>
        <v>#REF!</v>
      </c>
      <c r="AN50" s="37" t="s">
        <v>52</v>
      </c>
    </row>
    <row r="51">
      <c r="A51" s="8">
        <v>530.0</v>
      </c>
      <c r="B51" s="9" t="s">
        <v>206</v>
      </c>
      <c r="C51" s="9" t="s">
        <v>207</v>
      </c>
      <c r="D51" s="10" t="s">
        <v>240</v>
      </c>
      <c r="E51" s="10" t="s">
        <v>240</v>
      </c>
      <c r="F51" s="10" t="s">
        <v>241</v>
      </c>
      <c r="G51" s="9" t="s">
        <v>42</v>
      </c>
      <c r="H51" s="11" t="s">
        <v>221</v>
      </c>
      <c r="I51" s="11" t="s">
        <v>221</v>
      </c>
      <c r="J51" s="11" t="s">
        <v>222</v>
      </c>
      <c r="K51" s="11" t="s">
        <v>45</v>
      </c>
      <c r="L51" s="9" t="s">
        <v>46</v>
      </c>
      <c r="M51" s="9" t="s">
        <v>212</v>
      </c>
      <c r="N51" s="9" t="s">
        <v>48</v>
      </c>
      <c r="O51" s="10" t="s">
        <v>80</v>
      </c>
      <c r="P51" s="11" t="s">
        <v>213</v>
      </c>
      <c r="Q51" s="11" t="s">
        <v>214</v>
      </c>
      <c r="R51" s="14" t="str">
        <f t="shared" si="1"/>
        <v>#NAME?</v>
      </c>
      <c r="S51" s="11" t="str">
        <f t="shared" si="2"/>
        <v>⛔ Sin datos</v>
      </c>
      <c r="T51" s="11" t="str">
        <f t="shared" si="3"/>
        <v>Ya no cuenta con actualizaciones</v>
      </c>
      <c r="U51" s="9" t="s">
        <v>52</v>
      </c>
      <c r="V51" s="9" t="s">
        <v>53</v>
      </c>
      <c r="W51" s="9" t="s">
        <v>53</v>
      </c>
      <c r="X51" s="9" t="s">
        <v>53</v>
      </c>
      <c r="Y51" s="15">
        <f t="shared" si="4"/>
        <v>0.25</v>
      </c>
      <c r="Z51" s="40" t="s">
        <v>223</v>
      </c>
      <c r="AA51" s="17">
        <v>46752.0</v>
      </c>
      <c r="AB51" s="9" t="s">
        <v>56</v>
      </c>
      <c r="AC51" s="9" t="s">
        <v>58</v>
      </c>
      <c r="AD51" s="9" t="s">
        <v>53</v>
      </c>
      <c r="AE51" s="18" t="str">
        <f t="shared" si="24"/>
        <v>#REF!</v>
      </c>
      <c r="AF51" s="18" t="str">
        <f t="shared" si="6"/>
        <v>#REF!</v>
      </c>
      <c r="AG51" s="18" t="str">
        <f t="shared" si="16"/>
        <v>#REF!</v>
      </c>
      <c r="AH51" s="18" t="s">
        <v>53</v>
      </c>
      <c r="AI51" s="19"/>
      <c r="AJ51" s="18" t="s">
        <v>58</v>
      </c>
      <c r="AK51" s="18" t="s">
        <v>52</v>
      </c>
      <c r="AL51" s="19"/>
      <c r="AM51" s="20" t="str">
        <f t="shared" si="17"/>
        <v>#REF!</v>
      </c>
      <c r="AN51" s="37" t="s">
        <v>52</v>
      </c>
    </row>
    <row r="52">
      <c r="A52" s="8">
        <v>531.0</v>
      </c>
      <c r="B52" s="9" t="s">
        <v>224</v>
      </c>
      <c r="C52" s="9" t="s">
        <v>207</v>
      </c>
      <c r="D52" s="10" t="s">
        <v>242</v>
      </c>
      <c r="E52" s="10" t="s">
        <v>242</v>
      </c>
      <c r="F52" s="10" t="s">
        <v>243</v>
      </c>
      <c r="G52" s="9" t="s">
        <v>227</v>
      </c>
      <c r="H52" s="11" t="s">
        <v>221</v>
      </c>
      <c r="I52" s="11" t="s">
        <v>221</v>
      </c>
      <c r="J52" s="11" t="s">
        <v>222</v>
      </c>
      <c r="K52" s="11" t="s">
        <v>45</v>
      </c>
      <c r="L52" s="9" t="s">
        <v>46</v>
      </c>
      <c r="M52" s="9" t="s">
        <v>212</v>
      </c>
      <c r="N52" s="9" t="s">
        <v>48</v>
      </c>
      <c r="O52" s="10" t="s">
        <v>80</v>
      </c>
      <c r="P52" s="11" t="s">
        <v>213</v>
      </c>
      <c r="Q52" s="11" t="s">
        <v>214</v>
      </c>
      <c r="R52" s="14" t="str">
        <f t="shared" si="1"/>
        <v>#NAME?</v>
      </c>
      <c r="S52" s="11" t="str">
        <f t="shared" si="2"/>
        <v>⛔ Sin datos</v>
      </c>
      <c r="T52" s="11" t="str">
        <f t="shared" si="3"/>
        <v>Ya no cuenta con actualizaciones</v>
      </c>
      <c r="U52" s="9" t="s">
        <v>52</v>
      </c>
      <c r="V52" s="9" t="s">
        <v>53</v>
      </c>
      <c r="W52" s="9" t="s">
        <v>53</v>
      </c>
      <c r="X52" s="9" t="s">
        <v>53</v>
      </c>
      <c r="Y52" s="15">
        <f t="shared" si="4"/>
        <v>0.25</v>
      </c>
      <c r="Z52" s="16" t="s">
        <v>223</v>
      </c>
      <c r="AA52" s="17">
        <v>46752.0</v>
      </c>
      <c r="AB52" s="9" t="s">
        <v>56</v>
      </c>
      <c r="AC52" s="16" t="s">
        <v>58</v>
      </c>
      <c r="AD52" s="9" t="s">
        <v>53</v>
      </c>
      <c r="AE52" s="18" t="str">
        <f t="shared" si="24"/>
        <v>#REF!</v>
      </c>
      <c r="AF52" s="18" t="str">
        <f t="shared" si="6"/>
        <v>#REF!</v>
      </c>
      <c r="AG52" s="18" t="str">
        <f t="shared" si="16"/>
        <v>#REF!</v>
      </c>
      <c r="AH52" s="18" t="s">
        <v>53</v>
      </c>
      <c r="AI52" s="19"/>
      <c r="AJ52" s="18" t="s">
        <v>58</v>
      </c>
      <c r="AK52" s="18" t="s">
        <v>52</v>
      </c>
      <c r="AL52" s="19"/>
      <c r="AM52" s="20" t="str">
        <f t="shared" si="17"/>
        <v>#REF!</v>
      </c>
      <c r="AN52" s="37" t="s">
        <v>52</v>
      </c>
    </row>
    <row r="53">
      <c r="A53" s="22">
        <v>596.0</v>
      </c>
      <c r="B53" s="23" t="s">
        <v>206</v>
      </c>
      <c r="C53" s="23" t="s">
        <v>207</v>
      </c>
      <c r="D53" s="24" t="s">
        <v>244</v>
      </c>
      <c r="E53" s="24" t="s">
        <v>244</v>
      </c>
      <c r="F53" s="24" t="s">
        <v>245</v>
      </c>
      <c r="G53" s="23" t="s">
        <v>42</v>
      </c>
      <c r="H53" s="25" t="s">
        <v>246</v>
      </c>
      <c r="I53" s="25" t="s">
        <v>247</v>
      </c>
      <c r="J53" s="27" t="s">
        <v>91</v>
      </c>
      <c r="K53" s="25" t="s">
        <v>45</v>
      </c>
      <c r="L53" s="23" t="s">
        <v>46</v>
      </c>
      <c r="M53" s="23" t="s">
        <v>212</v>
      </c>
      <c r="N53" s="23" t="s">
        <v>48</v>
      </c>
      <c r="O53" s="24" t="s">
        <v>80</v>
      </c>
      <c r="P53" s="25" t="s">
        <v>213</v>
      </c>
      <c r="Q53" s="25" t="s">
        <v>214</v>
      </c>
      <c r="R53" s="29" t="str">
        <f t="shared" si="1"/>
        <v>#NAME?</v>
      </c>
      <c r="S53" s="25" t="str">
        <f t="shared" si="2"/>
        <v>⛔ Sin datos</v>
      </c>
      <c r="T53" s="41"/>
      <c r="U53" s="23" t="s">
        <v>52</v>
      </c>
      <c r="V53" s="23" t="s">
        <v>53</v>
      </c>
      <c r="W53" s="23" t="s">
        <v>53</v>
      </c>
      <c r="X53" s="23" t="s">
        <v>53</v>
      </c>
      <c r="Y53" s="30">
        <f t="shared" si="4"/>
        <v>0.25</v>
      </c>
      <c r="Z53" s="23" t="s">
        <v>66</v>
      </c>
      <c r="AA53" s="23" t="s">
        <v>67</v>
      </c>
      <c r="AB53" s="23" t="s">
        <v>56</v>
      </c>
      <c r="AC53" s="23" t="s">
        <v>69</v>
      </c>
      <c r="AD53" s="23" t="s">
        <v>53</v>
      </c>
      <c r="AE53" s="32" t="str">
        <f t="shared" si="24"/>
        <v>#REF!</v>
      </c>
      <c r="AF53" s="32" t="str">
        <f t="shared" si="6"/>
        <v>#REF!</v>
      </c>
      <c r="AG53" s="32" t="str">
        <f t="shared" si="16"/>
        <v>#REF!</v>
      </c>
      <c r="AH53" s="32" t="s">
        <v>53</v>
      </c>
      <c r="AI53" s="19"/>
      <c r="AJ53" s="23" t="s">
        <v>58</v>
      </c>
      <c r="AK53" s="32" t="s">
        <v>53</v>
      </c>
      <c r="AL53" s="19"/>
      <c r="AM53" s="33" t="str">
        <f t="shared" si="17"/>
        <v>#REF!</v>
      </c>
      <c r="AN53" s="21"/>
    </row>
    <row r="54">
      <c r="A54" s="8">
        <v>897.0</v>
      </c>
      <c r="B54" s="9" t="s">
        <v>224</v>
      </c>
      <c r="C54" s="9" t="s">
        <v>207</v>
      </c>
      <c r="D54" s="10" t="s">
        <v>248</v>
      </c>
      <c r="E54" s="10" t="s">
        <v>248</v>
      </c>
      <c r="F54" s="10" t="s">
        <v>249</v>
      </c>
      <c r="G54" s="9" t="s">
        <v>227</v>
      </c>
      <c r="H54" s="11" t="s">
        <v>221</v>
      </c>
      <c r="I54" s="11" t="s">
        <v>221</v>
      </c>
      <c r="J54" s="11" t="s">
        <v>222</v>
      </c>
      <c r="K54" s="11" t="s">
        <v>45</v>
      </c>
      <c r="L54" s="9" t="s">
        <v>46</v>
      </c>
      <c r="M54" s="9" t="s">
        <v>212</v>
      </c>
      <c r="N54" s="9" t="s">
        <v>48</v>
      </c>
      <c r="O54" s="10" t="s">
        <v>80</v>
      </c>
      <c r="P54" s="13" t="s">
        <v>213</v>
      </c>
      <c r="Q54" s="11" t="s">
        <v>214</v>
      </c>
      <c r="R54" s="14" t="str">
        <f t="shared" si="1"/>
        <v>#NAME?</v>
      </c>
      <c r="S54" s="11" t="str">
        <f t="shared" si="2"/>
        <v>⛔ Sin datos</v>
      </c>
      <c r="T54" s="11" t="str">
        <f t="shared" ref="T54:T55" si="25">IF(OR(S54 = "🟥 Obsoleto",S54 = "⛔ Sin datos"),
  "Ya no cuenta con actualizaciones",
  IFERROR(
    CONCATENATE(
      "E" &amp; IFERROR(CHOOSE(MATCH(INDEX(ControlMensual!H:H, MATCH(F54, ControlMensual!B:B, 0)), {"ok";"no";"pendiente"}, 0),"✅","❌","🕓"), "⛔") &amp; " ",
      "F" &amp; IFERROR(CHOOSE(MATCH(INDEX(ControlMensual!I:I, MATCH(F54, ControlMensual!B:B, 0)), {"ok";"no";"pendiente"}, 0),"✅","❌","🕓"), "⛔") &amp; " ",
      "M" &amp; IFERROR(CHOOSE(MATCH(INDEX(ControlMensual!J:J, MATCH(F54, ControlMensual!B:B, 0)), {"ok";"no";"pendiente"}, 0),"✅","❌","🕓"), "⛔") &amp; " ",
      "A" &amp; IFERROR(CHOOSE(MATCH(INDEX(ControlMensual!K:K, MATCH(F54, ControlMensual!B:B, 0)), {"ok";"no";"pendiente"}, 0),"✅","❌","🕓"), "⛔") &amp; " ",
      "M" &amp; IFERROR(CHOOSE(MATCH(INDEX(ControlMensual!L:L, MATCH(F54, ControlMensual!B:B, 0)), {"ok";"no";"pendiente"}, 0),"✅","❌","🕓"), "⛔") &amp; " ",
      "J" &amp; IFERROR(CHOOSE(MATCH(INDEX(ControlMensual!M:M, MATCH(F54, ControlMensual!B:B, 0)), {"ok";"no";"pendiente"}, 0),"✅","❌","🕓"), "⛔") &amp; " ",
      "J" &amp; IFERROR(CHOOSE(MATCH(INDEX(ControlMensual!N:N, MATCH(F54, ControlMensual!B:B, 0)), {"ok";"no";"pendiente"}, 0),"✅","❌","🕓"), "⛔") &amp; " ",
      "A" &amp; IFERROR(CHOOSE(MATCH(INDEX(ControlMensual!O:O, MATCH(F54, ControlMensual!B:B, 0)), {"ok";"no";"pendiente"}, 0),"✅","❌","🕓"), "⛔") &amp; " ",
      "S" &amp; IFERROR(CHOOSE(MATCH(INDEX(ControlMensual!P:P, MATCH(F54, ControlMensual!B:B, 0)), {"ok";"no";"pendiente"}, 0),"✅","❌","🕓"), "⛔") &amp; " ",
      "O" &amp; IFERROR(CHOOSE(MATCH(INDEX(ControlMensual!Q:Q, MATCH(F54, ControlMensual!B:B, 0)), {"ok";"no";"pendiente"}, 0),"✅","❌","🕓"), "⛔") &amp; " ",
      "N" &amp; IFERROR(CHOOSE(MATCH(INDEX(ControlMensual!R:R, MATCH(F54, ControlMensual!B:B, 0)), {"ok";"no";"pendiente"}, 0),"✅","❌","🕓"), "⛔") &amp; " ",
      "D" &amp; IFERROR(CHOOSE(MATCH(INDEX(ControlMensual!S:S, MATCH(F54, ControlMensual!B:B, 0)), {"ok";"no";"pendiente"}, 0),"✅","❌","🕓"), "⛔")
    )
  ,"")
)
</f>
        <v>Ya no cuenta con actualizaciones</v>
      </c>
      <c r="U54" s="9" t="s">
        <v>52</v>
      </c>
      <c r="V54" s="9" t="s">
        <v>53</v>
      </c>
      <c r="W54" s="9" t="s">
        <v>53</v>
      </c>
      <c r="X54" s="9" t="s">
        <v>53</v>
      </c>
      <c r="Y54" s="15">
        <f t="shared" si="4"/>
        <v>0.25</v>
      </c>
      <c r="Z54" s="16" t="s">
        <v>223</v>
      </c>
      <c r="AA54" s="17">
        <v>46752.0</v>
      </c>
      <c r="AB54" s="9" t="s">
        <v>56</v>
      </c>
      <c r="AC54" s="16" t="s">
        <v>58</v>
      </c>
      <c r="AD54" s="9" t="s">
        <v>53</v>
      </c>
      <c r="AE54" s="18" t="str">
        <f t="shared" si="24"/>
        <v>#REF!</v>
      </c>
      <c r="AF54" s="18" t="str">
        <f t="shared" si="6"/>
        <v>#REF!</v>
      </c>
      <c r="AG54" s="18" t="str">
        <f t="shared" si="16"/>
        <v>#REF!</v>
      </c>
      <c r="AH54" s="18" t="s">
        <v>53</v>
      </c>
      <c r="AI54" s="19"/>
      <c r="AJ54" s="18" t="s">
        <v>58</v>
      </c>
      <c r="AK54" s="18" t="s">
        <v>52</v>
      </c>
      <c r="AL54" s="19"/>
      <c r="AM54" s="20" t="str">
        <f t="shared" si="17"/>
        <v>#REF!</v>
      </c>
      <c r="AN54" s="37" t="s">
        <v>52</v>
      </c>
    </row>
    <row r="55">
      <c r="A55" s="22">
        <v>1199.0</v>
      </c>
      <c r="B55" s="23" t="s">
        <v>250</v>
      </c>
      <c r="C55" s="23" t="s">
        <v>251</v>
      </c>
      <c r="D55" s="24" t="s">
        <v>252</v>
      </c>
      <c r="E55" s="24" t="s">
        <v>252</v>
      </c>
      <c r="F55" s="24" t="s">
        <v>253</v>
      </c>
      <c r="G55" s="23" t="s">
        <v>254</v>
      </c>
      <c r="H55" s="25" t="s">
        <v>43</v>
      </c>
      <c r="I55" s="25" t="s">
        <v>79</v>
      </c>
      <c r="J55" s="25" t="s">
        <v>255</v>
      </c>
      <c r="K55" s="25" t="s">
        <v>45</v>
      </c>
      <c r="L55" s="23" t="s">
        <v>46</v>
      </c>
      <c r="M55" s="23" t="s">
        <v>256</v>
      </c>
      <c r="N55" s="23" t="s">
        <v>48</v>
      </c>
      <c r="O55" s="24" t="s">
        <v>80</v>
      </c>
      <c r="P55" s="24" t="s">
        <v>81</v>
      </c>
      <c r="Q55" s="25" t="s">
        <v>257</v>
      </c>
      <c r="R55" s="29" t="str">
        <f t="shared" si="1"/>
        <v>#NAME?</v>
      </c>
      <c r="S55" s="25" t="str">
        <f t="shared" si="2"/>
        <v>⛔ Sin datos</v>
      </c>
      <c r="T55" s="25" t="str">
        <f t="shared" si="25"/>
        <v>Ya no cuenta con actualizaciones</v>
      </c>
      <c r="U55" s="23" t="s">
        <v>52</v>
      </c>
      <c r="V55" s="23" t="s">
        <v>53</v>
      </c>
      <c r="W55" s="23" t="s">
        <v>53</v>
      </c>
      <c r="X55" s="23" t="s">
        <v>53</v>
      </c>
      <c r="Y55" s="30">
        <f t="shared" si="4"/>
        <v>0.25</v>
      </c>
      <c r="Z55" s="42" t="s">
        <v>66</v>
      </c>
      <c r="AA55" s="31" t="s">
        <v>67</v>
      </c>
      <c r="AB55" s="23" t="s">
        <v>258</v>
      </c>
      <c r="AC55" s="31" t="s">
        <v>69</v>
      </c>
      <c r="AD55" s="23" t="s">
        <v>53</v>
      </c>
      <c r="AE55" s="32" t="str">
        <f t="shared" si="24"/>
        <v>#REF!</v>
      </c>
      <c r="AF55" s="32" t="str">
        <f t="shared" si="6"/>
        <v>#REF!</v>
      </c>
      <c r="AG55" s="32" t="str">
        <f t="shared" si="16"/>
        <v>#REF!</v>
      </c>
      <c r="AH55" s="32" t="s">
        <v>53</v>
      </c>
      <c r="AI55" s="41"/>
      <c r="AJ55" s="32" t="s">
        <v>259</v>
      </c>
      <c r="AK55" s="32" t="s">
        <v>53</v>
      </c>
      <c r="AL55" s="19"/>
      <c r="AM55" s="33" t="str">
        <f t="shared" si="17"/>
        <v>#REF!</v>
      </c>
      <c r="AN55" s="21"/>
    </row>
    <row r="56">
      <c r="A56" s="22">
        <v>1298.0</v>
      </c>
      <c r="B56" s="43" t="s">
        <v>250</v>
      </c>
      <c r="C56" s="43" t="s">
        <v>251</v>
      </c>
      <c r="D56" s="44" t="s">
        <v>260</v>
      </c>
      <c r="E56" s="44" t="s">
        <v>260</v>
      </c>
      <c r="F56" s="44" t="s">
        <v>261</v>
      </c>
      <c r="G56" s="45" t="s">
        <v>42</v>
      </c>
      <c r="H56" s="25" t="s">
        <v>43</v>
      </c>
      <c r="I56" s="46" t="s">
        <v>262</v>
      </c>
      <c r="J56" s="45" t="s">
        <v>79</v>
      </c>
      <c r="K56" s="47" t="s">
        <v>45</v>
      </c>
      <c r="L56" s="43" t="s">
        <v>46</v>
      </c>
      <c r="M56" s="43" t="s">
        <v>256</v>
      </c>
      <c r="N56" s="43" t="s">
        <v>48</v>
      </c>
      <c r="O56" s="24" t="s">
        <v>80</v>
      </c>
      <c r="P56" s="24" t="s">
        <v>81</v>
      </c>
      <c r="Q56" s="25" t="s">
        <v>257</v>
      </c>
      <c r="R56" s="48" t="str">
        <f t="shared" si="1"/>
        <v>#NAME?</v>
      </c>
      <c r="S56" s="47" t="str">
        <f t="shared" si="2"/>
        <v>⛔ Sin datos</v>
      </c>
      <c r="T56" s="34"/>
      <c r="U56" s="23" t="s">
        <v>52</v>
      </c>
      <c r="V56" s="43" t="s">
        <v>53</v>
      </c>
      <c r="W56" s="43" t="s">
        <v>53</v>
      </c>
      <c r="X56" s="43" t="s">
        <v>53</v>
      </c>
      <c r="Y56" s="49">
        <f t="shared" si="4"/>
        <v>0.25</v>
      </c>
      <c r="Z56" s="32" t="s">
        <v>66</v>
      </c>
      <c r="AA56" s="23" t="s">
        <v>67</v>
      </c>
      <c r="AB56" s="23" t="s">
        <v>56</v>
      </c>
      <c r="AC56" s="32" t="s">
        <v>69</v>
      </c>
      <c r="AD56" s="34"/>
      <c r="AE56" s="34"/>
      <c r="AF56" s="34"/>
      <c r="AG56" s="34"/>
      <c r="AH56" s="34"/>
      <c r="AI56" s="32" t="s">
        <v>58</v>
      </c>
      <c r="AJ56" s="32" t="s">
        <v>58</v>
      </c>
      <c r="AK56" s="32" t="s">
        <v>53</v>
      </c>
      <c r="AL56" s="19"/>
      <c r="AM56" s="21"/>
      <c r="AN56" s="21"/>
    </row>
    <row r="57">
      <c r="A57" s="22">
        <v>1299.0</v>
      </c>
      <c r="B57" s="43" t="s">
        <v>250</v>
      </c>
      <c r="C57" s="43" t="s">
        <v>251</v>
      </c>
      <c r="D57" s="50" t="s">
        <v>260</v>
      </c>
      <c r="E57" s="50" t="s">
        <v>260</v>
      </c>
      <c r="F57" s="50" t="s">
        <v>263</v>
      </c>
      <c r="G57" s="51" t="s">
        <v>42</v>
      </c>
      <c r="H57" s="25" t="s">
        <v>43</v>
      </c>
      <c r="I57" s="52" t="s">
        <v>264</v>
      </c>
      <c r="J57" s="51" t="s">
        <v>79</v>
      </c>
      <c r="K57" s="47" t="s">
        <v>45</v>
      </c>
      <c r="L57" s="43" t="s">
        <v>46</v>
      </c>
      <c r="M57" s="43" t="s">
        <v>256</v>
      </c>
      <c r="N57" s="43" t="s">
        <v>48</v>
      </c>
      <c r="O57" s="24" t="s">
        <v>80</v>
      </c>
      <c r="P57" s="24" t="s">
        <v>81</v>
      </c>
      <c r="Q57" s="25" t="s">
        <v>257</v>
      </c>
      <c r="R57" s="48" t="str">
        <f t="shared" si="1"/>
        <v>#NAME?</v>
      </c>
      <c r="S57" s="47" t="str">
        <f t="shared" si="2"/>
        <v>⛔ Sin datos</v>
      </c>
      <c r="T57" s="34"/>
      <c r="U57" s="23" t="s">
        <v>52</v>
      </c>
      <c r="V57" s="43" t="s">
        <v>53</v>
      </c>
      <c r="W57" s="43" t="s">
        <v>53</v>
      </c>
      <c r="X57" s="43" t="s">
        <v>53</v>
      </c>
      <c r="Y57" s="49">
        <f t="shared" si="4"/>
        <v>0.25</v>
      </c>
      <c r="Z57" s="32" t="s">
        <v>66</v>
      </c>
      <c r="AA57" s="23" t="s">
        <v>67</v>
      </c>
      <c r="AB57" s="23" t="s">
        <v>56</v>
      </c>
      <c r="AC57" s="32" t="s">
        <v>69</v>
      </c>
      <c r="AD57" s="34"/>
      <c r="AE57" s="34"/>
      <c r="AF57" s="34"/>
      <c r="AG57" s="34"/>
      <c r="AH57" s="34"/>
      <c r="AI57" s="34"/>
      <c r="AJ57" s="32" t="s">
        <v>58</v>
      </c>
      <c r="AK57" s="32" t="s">
        <v>53</v>
      </c>
      <c r="AL57" s="19"/>
      <c r="AM57" s="33" t="str">
        <f t="shared" ref="AM57:AM59" si="26">VLOOKUP(D57,'Copia de vInfo 2'!A:A,1,FALSE)</f>
        <v>#REF!</v>
      </c>
      <c r="AN57" s="21"/>
    </row>
    <row r="58">
      <c r="A58" s="22">
        <v>1300.0</v>
      </c>
      <c r="B58" s="43" t="s">
        <v>250</v>
      </c>
      <c r="C58" s="43" t="s">
        <v>251</v>
      </c>
      <c r="D58" s="44" t="s">
        <v>260</v>
      </c>
      <c r="E58" s="44" t="s">
        <v>260</v>
      </c>
      <c r="F58" s="44" t="s">
        <v>265</v>
      </c>
      <c r="G58" s="45" t="s">
        <v>107</v>
      </c>
      <c r="H58" s="25" t="s">
        <v>43</v>
      </c>
      <c r="I58" s="46" t="s">
        <v>266</v>
      </c>
      <c r="J58" s="45" t="s">
        <v>79</v>
      </c>
      <c r="K58" s="47" t="s">
        <v>45</v>
      </c>
      <c r="L58" s="43" t="s">
        <v>46</v>
      </c>
      <c r="M58" s="43" t="s">
        <v>256</v>
      </c>
      <c r="N58" s="43" t="s">
        <v>48</v>
      </c>
      <c r="O58" s="24" t="s">
        <v>80</v>
      </c>
      <c r="P58" s="24" t="s">
        <v>81</v>
      </c>
      <c r="Q58" s="25" t="s">
        <v>257</v>
      </c>
      <c r="R58" s="48" t="str">
        <f t="shared" si="1"/>
        <v>#NAME?</v>
      </c>
      <c r="S58" s="47" t="str">
        <f t="shared" si="2"/>
        <v>⛔ Sin datos</v>
      </c>
      <c r="T58" s="34"/>
      <c r="U58" s="23" t="s">
        <v>52</v>
      </c>
      <c r="V58" s="43" t="s">
        <v>53</v>
      </c>
      <c r="W58" s="43" t="s">
        <v>53</v>
      </c>
      <c r="X58" s="43" t="s">
        <v>53</v>
      </c>
      <c r="Y58" s="49">
        <f t="shared" si="4"/>
        <v>0.25</v>
      </c>
      <c r="Z58" s="32" t="s">
        <v>66</v>
      </c>
      <c r="AA58" s="23" t="s">
        <v>67</v>
      </c>
      <c r="AB58" s="23" t="s">
        <v>56</v>
      </c>
      <c r="AC58" s="32" t="s">
        <v>69</v>
      </c>
      <c r="AD58" s="34"/>
      <c r="AE58" s="34"/>
      <c r="AF58" s="34"/>
      <c r="AG58" s="34"/>
      <c r="AH58" s="34"/>
      <c r="AI58" s="34"/>
      <c r="AJ58" s="32" t="s">
        <v>58</v>
      </c>
      <c r="AK58" s="32" t="s">
        <v>53</v>
      </c>
      <c r="AL58" s="19"/>
      <c r="AM58" s="33" t="str">
        <f t="shared" si="26"/>
        <v>#REF!</v>
      </c>
      <c r="AN58" s="21"/>
    </row>
    <row r="59">
      <c r="A59" s="22">
        <v>1301.0</v>
      </c>
      <c r="B59" s="43" t="s">
        <v>250</v>
      </c>
      <c r="C59" s="43" t="s">
        <v>251</v>
      </c>
      <c r="D59" s="50" t="s">
        <v>260</v>
      </c>
      <c r="E59" s="50" t="s">
        <v>260</v>
      </c>
      <c r="F59" s="50" t="s">
        <v>267</v>
      </c>
      <c r="G59" s="51" t="s">
        <v>42</v>
      </c>
      <c r="H59" s="25" t="s">
        <v>43</v>
      </c>
      <c r="I59" s="52" t="s">
        <v>268</v>
      </c>
      <c r="J59" s="51" t="s">
        <v>79</v>
      </c>
      <c r="K59" s="47" t="s">
        <v>45</v>
      </c>
      <c r="L59" s="43" t="s">
        <v>46</v>
      </c>
      <c r="M59" s="43" t="s">
        <v>256</v>
      </c>
      <c r="N59" s="43" t="s">
        <v>48</v>
      </c>
      <c r="O59" s="24" t="s">
        <v>80</v>
      </c>
      <c r="P59" s="24" t="s">
        <v>81</v>
      </c>
      <c r="Q59" s="25" t="s">
        <v>257</v>
      </c>
      <c r="R59" s="48" t="str">
        <f t="shared" si="1"/>
        <v>#NAME?</v>
      </c>
      <c r="S59" s="47" t="str">
        <f t="shared" si="2"/>
        <v>⛔ Sin datos</v>
      </c>
      <c r="T59" s="34"/>
      <c r="U59" s="23" t="s">
        <v>52</v>
      </c>
      <c r="V59" s="43" t="s">
        <v>53</v>
      </c>
      <c r="W59" s="43" t="s">
        <v>53</v>
      </c>
      <c r="X59" s="43" t="s">
        <v>53</v>
      </c>
      <c r="Y59" s="49">
        <f t="shared" si="4"/>
        <v>0.25</v>
      </c>
      <c r="Z59" s="32" t="s">
        <v>66</v>
      </c>
      <c r="AA59" s="23" t="s">
        <v>67</v>
      </c>
      <c r="AB59" s="23" t="s">
        <v>56</v>
      </c>
      <c r="AC59" s="32" t="s">
        <v>69</v>
      </c>
      <c r="AD59" s="34"/>
      <c r="AE59" s="34"/>
      <c r="AF59" s="34"/>
      <c r="AG59" s="34"/>
      <c r="AH59" s="34"/>
      <c r="AI59" s="34"/>
      <c r="AJ59" s="32" t="s">
        <v>58</v>
      </c>
      <c r="AK59" s="32" t="s">
        <v>53</v>
      </c>
      <c r="AL59" s="19"/>
      <c r="AM59" s="33" t="str">
        <f t="shared" si="26"/>
        <v>#REF!</v>
      </c>
      <c r="AN59" s="21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 t="s">
        <v>269</v>
      </c>
      <c r="B1" s="53" t="s">
        <v>270</v>
      </c>
      <c r="C1" s="53" t="s">
        <v>271</v>
      </c>
      <c r="D1" s="53" t="s">
        <v>272</v>
      </c>
      <c r="E1" s="53" t="s">
        <v>273</v>
      </c>
      <c r="F1" s="53" t="s">
        <v>274</v>
      </c>
      <c r="G1" s="53" t="s">
        <v>275</v>
      </c>
      <c r="H1" s="53" t="s">
        <v>276</v>
      </c>
      <c r="I1" s="53" t="s">
        <v>277</v>
      </c>
      <c r="J1" s="53" t="s">
        <v>278</v>
      </c>
      <c r="K1" s="53" t="s">
        <v>279</v>
      </c>
      <c r="L1" s="53" t="s">
        <v>280</v>
      </c>
      <c r="M1" s="53" t="s">
        <v>10</v>
      </c>
      <c r="N1" s="53" t="s">
        <v>281</v>
      </c>
      <c r="O1" s="53" t="s">
        <v>282</v>
      </c>
      <c r="P1" s="53" t="s">
        <v>283</v>
      </c>
      <c r="Q1" s="53" t="s">
        <v>284</v>
      </c>
      <c r="R1" s="53" t="s">
        <v>285</v>
      </c>
      <c r="S1" s="53" t="s">
        <v>286</v>
      </c>
      <c r="T1" s="53" t="s">
        <v>287</v>
      </c>
      <c r="U1" s="53" t="s">
        <v>288</v>
      </c>
      <c r="V1" s="54" t="s">
        <v>289</v>
      </c>
      <c r="W1" s="53" t="s">
        <v>290</v>
      </c>
      <c r="X1" s="53" t="s">
        <v>291</v>
      </c>
      <c r="Y1" s="53" t="s">
        <v>292</v>
      </c>
      <c r="Z1" s="53" t="s">
        <v>293</v>
      </c>
      <c r="AA1" s="53" t="s">
        <v>294</v>
      </c>
      <c r="AB1" s="53" t="s">
        <v>295</v>
      </c>
      <c r="AC1" s="53" t="s">
        <v>296</v>
      </c>
      <c r="AD1" s="53" t="s">
        <v>297</v>
      </c>
      <c r="AE1" s="53" t="s">
        <v>298</v>
      </c>
      <c r="AF1" s="53" t="s">
        <v>2</v>
      </c>
      <c r="AG1" s="53" t="s">
        <v>299</v>
      </c>
      <c r="AH1" s="53" t="s">
        <v>300</v>
      </c>
      <c r="AI1" s="53" t="s">
        <v>12</v>
      </c>
      <c r="AJ1" s="53" t="s">
        <v>301</v>
      </c>
      <c r="AK1" s="55" t="s">
        <v>302</v>
      </c>
      <c r="AL1" s="55" t="s">
        <v>303</v>
      </c>
      <c r="AM1" s="55" t="s">
        <v>304</v>
      </c>
      <c r="AN1" s="55" t="s">
        <v>305</v>
      </c>
      <c r="AO1" s="55" t="s">
        <v>306</v>
      </c>
      <c r="AP1" s="55" t="s">
        <v>307</v>
      </c>
      <c r="AQ1" s="55" t="s">
        <v>308</v>
      </c>
      <c r="AR1" s="55" t="s">
        <v>309</v>
      </c>
    </row>
    <row r="2">
      <c r="A2" s="56">
        <v>10.0</v>
      </c>
      <c r="B2" s="57" t="s">
        <v>53</v>
      </c>
      <c r="C2" s="57" t="s">
        <v>310</v>
      </c>
      <c r="D2" s="58" t="s">
        <v>311</v>
      </c>
      <c r="E2" s="59" t="s">
        <v>52</v>
      </c>
      <c r="F2" s="60">
        <f t="shared" ref="F2:F21" si="1">IF(D2=D3,0,1)</f>
        <v>1</v>
      </c>
      <c r="G2" s="58" t="s">
        <v>311</v>
      </c>
      <c r="H2" s="61" t="s">
        <v>312</v>
      </c>
      <c r="I2" s="56" t="s">
        <v>313</v>
      </c>
      <c r="J2" s="56" t="s">
        <v>314</v>
      </c>
      <c r="K2" s="57">
        <v>2026.0</v>
      </c>
      <c r="L2" s="57" t="s">
        <v>315</v>
      </c>
      <c r="M2" s="57" t="s">
        <v>316</v>
      </c>
      <c r="N2" s="62" t="s">
        <v>317</v>
      </c>
      <c r="O2" s="34"/>
      <c r="P2" s="57" t="s">
        <v>52</v>
      </c>
      <c r="Q2" s="58" t="str">
        <f t="shared" ref="Q2:Q21" si="2">D2&amp;G2</f>
        <v>Base PreaprobadosBase Preaprobados</v>
      </c>
      <c r="R2" s="56">
        <f t="shared" ref="R2:R21" si="3">IF(Q2=Q3,0,1)</f>
        <v>1</v>
      </c>
      <c r="S2" s="56" t="s">
        <v>318</v>
      </c>
      <c r="T2" s="63"/>
      <c r="U2" s="63"/>
      <c r="V2" s="64" t="s">
        <v>319</v>
      </c>
      <c r="W2" s="63"/>
      <c r="X2" s="63" t="s">
        <v>320</v>
      </c>
      <c r="Y2" s="65" t="s">
        <v>311</v>
      </c>
      <c r="Z2" s="63"/>
      <c r="AA2" s="63"/>
      <c r="AB2" s="63"/>
      <c r="AC2" s="63"/>
      <c r="AD2" s="63"/>
      <c r="AE2" s="63"/>
      <c r="AF2" s="63"/>
      <c r="AG2" s="63"/>
      <c r="AH2" s="66"/>
      <c r="AI2" s="63"/>
      <c r="AJ2" s="63"/>
      <c r="AK2" s="63"/>
      <c r="AL2" s="58" t="s">
        <v>321</v>
      </c>
      <c r="AM2" s="63"/>
      <c r="AN2" s="63"/>
      <c r="AO2" s="58" t="s">
        <v>317</v>
      </c>
      <c r="AP2" s="58" t="s">
        <v>322</v>
      </c>
      <c r="AQ2" s="58" t="s">
        <v>323</v>
      </c>
      <c r="AR2" s="58" t="s">
        <v>324</v>
      </c>
    </row>
    <row r="3">
      <c r="A3" s="56">
        <v>18.0</v>
      </c>
      <c r="B3" s="57" t="s">
        <v>52</v>
      </c>
      <c r="C3" s="57" t="s">
        <v>52</v>
      </c>
      <c r="D3" s="58" t="s">
        <v>325</v>
      </c>
      <c r="E3" s="59" t="s">
        <v>53</v>
      </c>
      <c r="F3" s="60">
        <f t="shared" si="1"/>
        <v>1</v>
      </c>
      <c r="G3" s="63"/>
      <c r="H3" s="61" t="s">
        <v>312</v>
      </c>
      <c r="I3" s="56" t="s">
        <v>326</v>
      </c>
      <c r="J3" s="56" t="s">
        <v>327</v>
      </c>
      <c r="K3" s="66"/>
      <c r="L3" s="66"/>
      <c r="M3" s="57" t="s">
        <v>328</v>
      </c>
      <c r="N3" s="62" t="s">
        <v>317</v>
      </c>
      <c r="O3" s="34"/>
      <c r="P3" s="57" t="s">
        <v>52</v>
      </c>
      <c r="Q3" s="58" t="str">
        <f t="shared" si="2"/>
        <v>Cartola Crédito</v>
      </c>
      <c r="R3" s="56">
        <f t="shared" si="3"/>
        <v>1</v>
      </c>
      <c r="S3" s="56" t="s">
        <v>318</v>
      </c>
      <c r="T3" s="63"/>
      <c r="U3" s="64" t="s">
        <v>329</v>
      </c>
      <c r="V3" s="63"/>
      <c r="W3" s="67" t="s">
        <v>330</v>
      </c>
      <c r="X3" s="58" t="s">
        <v>331</v>
      </c>
      <c r="Y3" s="65" t="s">
        <v>332</v>
      </c>
      <c r="Z3" s="56" t="s">
        <v>333</v>
      </c>
      <c r="AA3" s="63"/>
      <c r="AB3" s="56" t="s">
        <v>334</v>
      </c>
      <c r="AC3" s="56" t="s">
        <v>335</v>
      </c>
      <c r="AD3" s="58" t="s">
        <v>336</v>
      </c>
      <c r="AE3" s="58" t="s">
        <v>337</v>
      </c>
      <c r="AF3" s="58" t="s">
        <v>250</v>
      </c>
      <c r="AG3" s="58" t="s">
        <v>338</v>
      </c>
      <c r="AH3" s="57" t="s">
        <v>250</v>
      </c>
      <c r="AI3" s="56" t="s">
        <v>339</v>
      </c>
      <c r="AJ3" s="63"/>
      <c r="AK3" s="63"/>
      <c r="AL3" s="58" t="s">
        <v>321</v>
      </c>
      <c r="AM3" s="63"/>
      <c r="AN3" s="63"/>
      <c r="AO3" s="63"/>
      <c r="AP3" s="58" t="s">
        <v>322</v>
      </c>
      <c r="AQ3" s="58" t="s">
        <v>340</v>
      </c>
      <c r="AR3" s="58" t="s">
        <v>341</v>
      </c>
    </row>
    <row r="4">
      <c r="A4" s="68">
        <v>27.0</v>
      </c>
      <c r="B4" s="57" t="s">
        <v>53</v>
      </c>
      <c r="C4" s="57" t="s">
        <v>53</v>
      </c>
      <c r="D4" s="69" t="s">
        <v>342</v>
      </c>
      <c r="E4" s="59" t="s">
        <v>52</v>
      </c>
      <c r="F4" s="60">
        <f t="shared" si="1"/>
        <v>1</v>
      </c>
      <c r="G4" s="19"/>
      <c r="H4" s="61" t="s">
        <v>312</v>
      </c>
      <c r="I4" s="56" t="s">
        <v>326</v>
      </c>
      <c r="J4" s="56" t="s">
        <v>327</v>
      </c>
      <c r="K4" s="66"/>
      <c r="L4" s="66"/>
      <c r="M4" s="57" t="s">
        <v>328</v>
      </c>
      <c r="N4" s="62" t="s">
        <v>317</v>
      </c>
      <c r="O4" s="34"/>
      <c r="P4" s="57" t="s">
        <v>52</v>
      </c>
      <c r="Q4" s="58" t="str">
        <f t="shared" si="2"/>
        <v>Crédito de Emergencia</v>
      </c>
      <c r="R4" s="56">
        <f t="shared" si="3"/>
        <v>1</v>
      </c>
      <c r="S4" s="56" t="s">
        <v>318</v>
      </c>
      <c r="T4" s="19"/>
      <c r="U4" s="19"/>
      <c r="V4" s="63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34"/>
      <c r="AI4" s="19"/>
      <c r="AJ4" s="19"/>
      <c r="AK4" s="19"/>
      <c r="AL4" s="69" t="s">
        <v>321</v>
      </c>
      <c r="AM4" s="19"/>
      <c r="AN4" s="19"/>
      <c r="AO4" s="19"/>
      <c r="AP4" s="58" t="s">
        <v>322</v>
      </c>
      <c r="AQ4" s="58" t="s">
        <v>340</v>
      </c>
      <c r="AR4" s="58" t="s">
        <v>341</v>
      </c>
    </row>
    <row r="5">
      <c r="A5" s="56">
        <v>28.0</v>
      </c>
      <c r="B5" s="57" t="s">
        <v>52</v>
      </c>
      <c r="C5" s="57" t="s">
        <v>52</v>
      </c>
      <c r="D5" s="58" t="s">
        <v>343</v>
      </c>
      <c r="E5" s="59" t="s">
        <v>53</v>
      </c>
      <c r="F5" s="60">
        <f t="shared" si="1"/>
        <v>0</v>
      </c>
      <c r="G5" s="58" t="s">
        <v>344</v>
      </c>
      <c r="H5" s="61" t="s">
        <v>312</v>
      </c>
      <c r="I5" s="56" t="s">
        <v>313</v>
      </c>
      <c r="J5" s="56" t="s">
        <v>345</v>
      </c>
      <c r="K5" s="57">
        <v>2025.0</v>
      </c>
      <c r="L5" s="57" t="s">
        <v>315</v>
      </c>
      <c r="M5" s="57" t="s">
        <v>346</v>
      </c>
      <c r="N5" s="62" t="s">
        <v>347</v>
      </c>
      <c r="O5" s="62" t="s">
        <v>348</v>
      </c>
      <c r="P5" s="57" t="s">
        <v>52</v>
      </c>
      <c r="Q5" s="58" t="str">
        <f t="shared" si="2"/>
        <v>Credito Social Digital CLA DigitalCredito Canales Remotos</v>
      </c>
      <c r="R5" s="56">
        <f t="shared" si="3"/>
        <v>1</v>
      </c>
      <c r="S5" s="56" t="s">
        <v>318</v>
      </c>
      <c r="T5" s="63"/>
      <c r="U5" s="63"/>
      <c r="V5" s="64" t="s">
        <v>349</v>
      </c>
      <c r="W5" s="58" t="s">
        <v>350</v>
      </c>
      <c r="X5" s="58" t="s">
        <v>351</v>
      </c>
      <c r="Y5" s="65" t="s">
        <v>352</v>
      </c>
      <c r="Z5" s="56" t="s">
        <v>333</v>
      </c>
      <c r="AA5" s="58" t="s">
        <v>353</v>
      </c>
      <c r="AB5" s="56" t="s">
        <v>354</v>
      </c>
      <c r="AC5" s="56" t="s">
        <v>335</v>
      </c>
      <c r="AD5" s="58" t="s">
        <v>354</v>
      </c>
      <c r="AE5" s="58" t="s">
        <v>337</v>
      </c>
      <c r="AF5" s="58" t="s">
        <v>250</v>
      </c>
      <c r="AG5" s="58" t="s">
        <v>338</v>
      </c>
      <c r="AH5" s="57" t="s">
        <v>250</v>
      </c>
      <c r="AI5" s="56" t="s">
        <v>339</v>
      </c>
      <c r="AJ5" s="63"/>
      <c r="AK5" s="63"/>
      <c r="AL5" s="58" t="s">
        <v>355</v>
      </c>
      <c r="AM5" s="63"/>
      <c r="AN5" s="63"/>
      <c r="AO5" s="63"/>
      <c r="AP5" s="58" t="s">
        <v>322</v>
      </c>
      <c r="AQ5" s="58" t="s">
        <v>340</v>
      </c>
      <c r="AR5" s="58" t="s">
        <v>341</v>
      </c>
    </row>
    <row r="6">
      <c r="A6" s="68">
        <v>29.0</v>
      </c>
      <c r="B6" s="57" t="s">
        <v>52</v>
      </c>
      <c r="C6" s="57" t="s">
        <v>52</v>
      </c>
      <c r="D6" s="58" t="s">
        <v>343</v>
      </c>
      <c r="E6" s="59" t="s">
        <v>53</v>
      </c>
      <c r="F6" s="60">
        <f t="shared" si="1"/>
        <v>1</v>
      </c>
      <c r="G6" s="58" t="s">
        <v>356</v>
      </c>
      <c r="H6" s="61" t="s">
        <v>312</v>
      </c>
      <c r="I6" s="56" t="s">
        <v>313</v>
      </c>
      <c r="J6" s="56" t="s">
        <v>357</v>
      </c>
      <c r="K6" s="57">
        <v>2025.0</v>
      </c>
      <c r="L6" s="57" t="s">
        <v>358</v>
      </c>
      <c r="M6" s="57" t="s">
        <v>346</v>
      </c>
      <c r="N6" s="62" t="s">
        <v>347</v>
      </c>
      <c r="O6" s="62" t="s">
        <v>348</v>
      </c>
      <c r="P6" s="57" t="s">
        <v>52</v>
      </c>
      <c r="Q6" s="58" t="str">
        <f t="shared" si="2"/>
        <v>Credito Social Digital CLA DigitalCredito Digital  Mambu </v>
      </c>
      <c r="R6" s="56">
        <f t="shared" si="3"/>
        <v>1</v>
      </c>
      <c r="S6" s="56" t="s">
        <v>318</v>
      </c>
      <c r="T6" s="63"/>
      <c r="U6" s="63"/>
      <c r="V6" s="63"/>
      <c r="W6" s="58" t="s">
        <v>359</v>
      </c>
      <c r="X6" s="58" t="s">
        <v>360</v>
      </c>
      <c r="Y6" s="65" t="s">
        <v>361</v>
      </c>
      <c r="Z6" s="56" t="s">
        <v>362</v>
      </c>
      <c r="AA6" s="58" t="s">
        <v>363</v>
      </c>
      <c r="AB6" s="56" t="s">
        <v>364</v>
      </c>
      <c r="AC6" s="56" t="s">
        <v>335</v>
      </c>
      <c r="AD6" s="58" t="s">
        <v>336</v>
      </c>
      <c r="AE6" s="58" t="s">
        <v>337</v>
      </c>
      <c r="AF6" s="58" t="s">
        <v>250</v>
      </c>
      <c r="AG6" s="58" t="s">
        <v>338</v>
      </c>
      <c r="AH6" s="57" t="s">
        <v>250</v>
      </c>
      <c r="AI6" s="56" t="s">
        <v>339</v>
      </c>
      <c r="AJ6" s="63"/>
      <c r="AK6" s="63"/>
      <c r="AL6" s="58" t="s">
        <v>355</v>
      </c>
      <c r="AM6" s="63"/>
      <c r="AN6" s="63"/>
      <c r="AO6" s="63"/>
      <c r="AP6" s="58" t="s">
        <v>322</v>
      </c>
      <c r="AQ6" s="58" t="s">
        <v>340</v>
      </c>
      <c r="AR6" s="58" t="s">
        <v>341</v>
      </c>
    </row>
    <row r="7">
      <c r="A7" s="68">
        <v>49.0</v>
      </c>
      <c r="B7" s="57" t="s">
        <v>53</v>
      </c>
      <c r="C7" s="57" t="s">
        <v>53</v>
      </c>
      <c r="D7" s="63" t="s">
        <v>365</v>
      </c>
      <c r="E7" s="59" t="s">
        <v>52</v>
      </c>
      <c r="F7" s="60">
        <f t="shared" si="1"/>
        <v>1</v>
      </c>
      <c r="G7" s="63"/>
      <c r="H7" s="61" t="s">
        <v>312</v>
      </c>
      <c r="I7" s="56" t="s">
        <v>326</v>
      </c>
      <c r="J7" s="56" t="s">
        <v>327</v>
      </c>
      <c r="K7" s="66"/>
      <c r="L7" s="66"/>
      <c r="M7" s="57" t="s">
        <v>366</v>
      </c>
      <c r="N7" s="34"/>
      <c r="O7" s="34"/>
      <c r="P7" s="57" t="s">
        <v>52</v>
      </c>
      <c r="Q7" s="58" t="str">
        <f t="shared" si="2"/>
        <v>Histórico WCC PF</v>
      </c>
      <c r="R7" s="56">
        <f t="shared" si="3"/>
        <v>1</v>
      </c>
      <c r="S7" s="56" t="s">
        <v>318</v>
      </c>
      <c r="T7" s="63"/>
      <c r="U7" s="63"/>
      <c r="V7" s="70" t="s">
        <v>367</v>
      </c>
      <c r="W7" s="63" t="s">
        <v>368</v>
      </c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2" t="s">
        <v>369</v>
      </c>
      <c r="AI7" s="63"/>
      <c r="AJ7" s="63"/>
      <c r="AK7" s="63"/>
      <c r="AL7" s="58" t="s">
        <v>355</v>
      </c>
      <c r="AM7" s="63"/>
      <c r="AN7" s="63"/>
      <c r="AO7" s="58" t="s">
        <v>370</v>
      </c>
      <c r="AP7" s="58" t="s">
        <v>371</v>
      </c>
      <c r="AQ7" s="58" t="s">
        <v>372</v>
      </c>
      <c r="AR7" s="58" t="s">
        <v>373</v>
      </c>
    </row>
    <row r="8">
      <c r="A8" s="56">
        <v>52.0</v>
      </c>
      <c r="B8" s="57" t="s">
        <v>52</v>
      </c>
      <c r="C8" s="57" t="s">
        <v>52</v>
      </c>
      <c r="D8" s="58" t="s">
        <v>374</v>
      </c>
      <c r="E8" s="59" t="s">
        <v>53</v>
      </c>
      <c r="F8" s="60">
        <f t="shared" si="1"/>
        <v>1</v>
      </c>
      <c r="G8" s="63"/>
      <c r="H8" s="61" t="s">
        <v>312</v>
      </c>
      <c r="I8" s="56" t="s">
        <v>326</v>
      </c>
      <c r="J8" s="56" t="s">
        <v>327</v>
      </c>
      <c r="K8" s="66"/>
      <c r="L8" s="66"/>
      <c r="M8" s="57" t="s">
        <v>328</v>
      </c>
      <c r="N8" s="62" t="s">
        <v>317</v>
      </c>
      <c r="O8" s="34"/>
      <c r="P8" s="57" t="s">
        <v>52</v>
      </c>
      <c r="Q8" s="58" t="str">
        <f t="shared" si="2"/>
        <v>IFRS9</v>
      </c>
      <c r="R8" s="56">
        <f t="shared" si="3"/>
        <v>1</v>
      </c>
      <c r="S8" s="56" t="s">
        <v>318</v>
      </c>
      <c r="T8" s="63"/>
      <c r="U8" s="63"/>
      <c r="V8" s="63"/>
      <c r="W8" s="63"/>
      <c r="X8" s="63"/>
      <c r="Y8" s="65" t="s">
        <v>375</v>
      </c>
      <c r="Z8" s="63"/>
      <c r="AA8" s="63"/>
      <c r="AB8" s="63"/>
      <c r="AC8" s="63"/>
      <c r="AD8" s="63"/>
      <c r="AE8" s="63"/>
      <c r="AF8" s="63"/>
      <c r="AG8" s="63"/>
      <c r="AH8" s="57" t="s">
        <v>250</v>
      </c>
      <c r="AI8" s="63"/>
      <c r="AJ8" s="63"/>
      <c r="AK8" s="63"/>
      <c r="AL8" s="58" t="s">
        <v>321</v>
      </c>
      <c r="AM8" s="63"/>
      <c r="AN8" s="63"/>
      <c r="AO8" s="58" t="s">
        <v>317</v>
      </c>
      <c r="AP8" s="58" t="s">
        <v>371</v>
      </c>
      <c r="AQ8" s="58" t="s">
        <v>376</v>
      </c>
      <c r="AR8" s="58" t="s">
        <v>377</v>
      </c>
    </row>
    <row r="9">
      <c r="A9" s="56">
        <v>58.0</v>
      </c>
      <c r="B9" s="57" t="s">
        <v>53</v>
      </c>
      <c r="C9" s="57" t="s">
        <v>53</v>
      </c>
      <c r="D9" s="69" t="s">
        <v>378</v>
      </c>
      <c r="E9" s="66"/>
      <c r="F9" s="60">
        <f t="shared" si="1"/>
        <v>1</v>
      </c>
      <c r="G9" s="19"/>
      <c r="H9" s="61" t="s">
        <v>312</v>
      </c>
      <c r="I9" s="56" t="s">
        <v>313</v>
      </c>
      <c r="J9" s="63"/>
      <c r="K9" s="66"/>
      <c r="L9" s="66"/>
      <c r="M9" s="57" t="s">
        <v>366</v>
      </c>
      <c r="N9" s="62" t="s">
        <v>379</v>
      </c>
      <c r="O9" s="34"/>
      <c r="P9" s="57" t="s">
        <v>52</v>
      </c>
      <c r="Q9" s="58" t="str">
        <f t="shared" si="2"/>
        <v>Línea de Crédito</v>
      </c>
      <c r="R9" s="56">
        <f t="shared" si="3"/>
        <v>1</v>
      </c>
      <c r="S9" s="56" t="s">
        <v>318</v>
      </c>
      <c r="T9" s="19"/>
      <c r="U9" s="19"/>
      <c r="V9" s="63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34"/>
      <c r="AI9" s="19"/>
      <c r="AJ9" s="19"/>
      <c r="AK9" s="19"/>
      <c r="AL9" s="69" t="s">
        <v>321</v>
      </c>
      <c r="AM9" s="19"/>
      <c r="AN9" s="19"/>
      <c r="AO9" s="19"/>
      <c r="AP9" s="58" t="s">
        <v>322</v>
      </c>
      <c r="AQ9" s="58" t="s">
        <v>340</v>
      </c>
      <c r="AR9" s="58" t="s">
        <v>341</v>
      </c>
    </row>
    <row r="10">
      <c r="A10" s="68">
        <v>97.0</v>
      </c>
      <c r="B10" s="57" t="s">
        <v>53</v>
      </c>
      <c r="C10" s="57" t="s">
        <v>310</v>
      </c>
      <c r="D10" s="58" t="s">
        <v>380</v>
      </c>
      <c r="E10" s="59" t="s">
        <v>52</v>
      </c>
      <c r="F10" s="60">
        <f t="shared" si="1"/>
        <v>1</v>
      </c>
      <c r="G10" s="58" t="s">
        <v>381</v>
      </c>
      <c r="H10" s="61" t="s">
        <v>312</v>
      </c>
      <c r="I10" s="56" t="s">
        <v>326</v>
      </c>
      <c r="J10" s="56" t="s">
        <v>327</v>
      </c>
      <c r="K10" s="66"/>
      <c r="L10" s="66"/>
      <c r="M10" s="57" t="s">
        <v>328</v>
      </c>
      <c r="N10" s="62" t="s">
        <v>317</v>
      </c>
      <c r="O10" s="34"/>
      <c r="P10" s="57" t="s">
        <v>52</v>
      </c>
      <c r="Q10" s="58" t="str">
        <f t="shared" si="2"/>
        <v>Motor de Decisión FICOMigración Fico a Cloud + DRP (Motor de Evaluación)</v>
      </c>
      <c r="R10" s="56">
        <f t="shared" si="3"/>
        <v>1</v>
      </c>
      <c r="S10" s="56" t="s">
        <v>318</v>
      </c>
      <c r="T10" s="63"/>
      <c r="U10" s="63"/>
      <c r="V10" s="58" t="s">
        <v>58</v>
      </c>
      <c r="W10" s="67" t="s">
        <v>382</v>
      </c>
      <c r="X10" s="63"/>
      <c r="Y10" s="65" t="s">
        <v>380</v>
      </c>
      <c r="Z10" s="63"/>
      <c r="AA10" s="63"/>
      <c r="AB10" s="63"/>
      <c r="AC10" s="63"/>
      <c r="AD10" s="63"/>
      <c r="AE10" s="63"/>
      <c r="AF10" s="63"/>
      <c r="AG10" s="63"/>
      <c r="AH10" s="62" t="s">
        <v>369</v>
      </c>
      <c r="AI10" s="63"/>
      <c r="AJ10" s="63"/>
      <c r="AK10" s="63"/>
      <c r="AL10" s="58" t="s">
        <v>383</v>
      </c>
      <c r="AM10" s="63"/>
      <c r="AN10" s="63"/>
      <c r="AO10" s="58" t="s">
        <v>384</v>
      </c>
      <c r="AP10" s="58" t="s">
        <v>385</v>
      </c>
      <c r="AQ10" s="63"/>
      <c r="AR10" s="63"/>
    </row>
    <row r="11">
      <c r="A11" s="56">
        <v>110.0</v>
      </c>
      <c r="B11" s="57" t="s">
        <v>52</v>
      </c>
      <c r="C11" s="57" t="s">
        <v>310</v>
      </c>
      <c r="D11" s="58" t="s">
        <v>222</v>
      </c>
      <c r="E11" s="59" t="s">
        <v>52</v>
      </c>
      <c r="F11" s="60">
        <f t="shared" si="1"/>
        <v>0</v>
      </c>
      <c r="G11" s="58" t="s">
        <v>386</v>
      </c>
      <c r="H11" s="61" t="s">
        <v>312</v>
      </c>
      <c r="I11" s="56" t="s">
        <v>313</v>
      </c>
      <c r="J11" s="56" t="s">
        <v>314</v>
      </c>
      <c r="K11" s="57">
        <v>2026.0</v>
      </c>
      <c r="L11" s="57" t="s">
        <v>315</v>
      </c>
      <c r="M11" s="57" t="s">
        <v>387</v>
      </c>
      <c r="N11" s="62" t="s">
        <v>347</v>
      </c>
      <c r="O11" s="34"/>
      <c r="P11" s="57" t="s">
        <v>52</v>
      </c>
      <c r="Q11" s="58" t="str">
        <f t="shared" si="2"/>
        <v>Pilar FinancieroAutoservicio</v>
      </c>
      <c r="R11" s="56">
        <f t="shared" si="3"/>
        <v>1</v>
      </c>
      <c r="S11" s="56" t="s">
        <v>318</v>
      </c>
      <c r="T11" s="63"/>
      <c r="U11" s="63"/>
      <c r="V11" s="63"/>
      <c r="W11" s="63"/>
      <c r="X11" s="58" t="s">
        <v>388</v>
      </c>
      <c r="Y11" s="65" t="s">
        <v>222</v>
      </c>
      <c r="Z11" s="56" t="s">
        <v>389</v>
      </c>
      <c r="AA11" s="63"/>
      <c r="AB11" s="56" t="s">
        <v>390</v>
      </c>
      <c r="AC11" s="56" t="s">
        <v>335</v>
      </c>
      <c r="AD11" s="58" t="s">
        <v>391</v>
      </c>
      <c r="AE11" s="58" t="s">
        <v>337</v>
      </c>
      <c r="AF11" s="58" t="s">
        <v>338</v>
      </c>
      <c r="AG11" s="63"/>
      <c r="AH11" s="57" t="s">
        <v>392</v>
      </c>
      <c r="AI11" s="56" t="s">
        <v>8</v>
      </c>
      <c r="AJ11" s="63"/>
      <c r="AK11" s="63"/>
      <c r="AL11" s="58" t="s">
        <v>321</v>
      </c>
      <c r="AM11" s="63"/>
      <c r="AN11" s="63"/>
      <c r="AO11" s="63"/>
      <c r="AP11" s="58" t="s">
        <v>322</v>
      </c>
      <c r="AQ11" s="58" t="s">
        <v>340</v>
      </c>
      <c r="AR11" s="58" t="s">
        <v>341</v>
      </c>
    </row>
    <row r="12">
      <c r="A12" s="68">
        <v>111.0</v>
      </c>
      <c r="B12" s="57" t="s">
        <v>52</v>
      </c>
      <c r="C12" s="57" t="s">
        <v>310</v>
      </c>
      <c r="D12" s="58" t="s">
        <v>222</v>
      </c>
      <c r="E12" s="59" t="s">
        <v>52</v>
      </c>
      <c r="F12" s="60">
        <f t="shared" si="1"/>
        <v>0</v>
      </c>
      <c r="G12" s="58" t="s">
        <v>393</v>
      </c>
      <c r="H12" s="61" t="s">
        <v>312</v>
      </c>
      <c r="I12" s="56" t="s">
        <v>313</v>
      </c>
      <c r="J12" s="56" t="s">
        <v>314</v>
      </c>
      <c r="K12" s="57">
        <v>2026.0</v>
      </c>
      <c r="L12" s="57" t="s">
        <v>315</v>
      </c>
      <c r="M12" s="57" t="s">
        <v>387</v>
      </c>
      <c r="N12" s="62" t="s">
        <v>347</v>
      </c>
      <c r="O12" s="34"/>
      <c r="P12" s="57" t="s">
        <v>52</v>
      </c>
      <c r="Q12" s="58" t="str">
        <f t="shared" si="2"/>
        <v>Pilar FinancieroCrédito Social</v>
      </c>
      <c r="R12" s="56">
        <f t="shared" si="3"/>
        <v>1</v>
      </c>
      <c r="S12" s="56" t="s">
        <v>318</v>
      </c>
      <c r="T12" s="63"/>
      <c r="U12" s="63"/>
      <c r="V12" s="63"/>
      <c r="W12" s="63"/>
      <c r="X12" s="58" t="s">
        <v>394</v>
      </c>
      <c r="Y12" s="65" t="s">
        <v>222</v>
      </c>
      <c r="Z12" s="63"/>
      <c r="AA12" s="63"/>
      <c r="AB12" s="63"/>
      <c r="AC12" s="63"/>
      <c r="AD12" s="63"/>
      <c r="AE12" s="63"/>
      <c r="AF12" s="63"/>
      <c r="AG12" s="63"/>
      <c r="AH12" s="57" t="s">
        <v>392</v>
      </c>
      <c r="AI12" s="63"/>
      <c r="AJ12" s="63"/>
      <c r="AK12" s="63"/>
      <c r="AL12" s="58" t="s">
        <v>355</v>
      </c>
      <c r="AM12" s="63"/>
      <c r="AN12" s="63"/>
      <c r="AO12" s="58" t="s">
        <v>395</v>
      </c>
      <c r="AP12" s="58" t="s">
        <v>322</v>
      </c>
      <c r="AQ12" s="58" t="s">
        <v>340</v>
      </c>
      <c r="AR12" s="58" t="s">
        <v>341</v>
      </c>
    </row>
    <row r="13">
      <c r="A13" s="56">
        <v>112.0</v>
      </c>
      <c r="B13" s="57" t="s">
        <v>52</v>
      </c>
      <c r="C13" s="57" t="s">
        <v>310</v>
      </c>
      <c r="D13" s="71" t="s">
        <v>222</v>
      </c>
      <c r="E13" s="59" t="s">
        <v>52</v>
      </c>
      <c r="F13" s="60">
        <f t="shared" si="1"/>
        <v>0</v>
      </c>
      <c r="G13" s="58" t="s">
        <v>396</v>
      </c>
      <c r="H13" s="61" t="s">
        <v>312</v>
      </c>
      <c r="I13" s="56" t="s">
        <v>313</v>
      </c>
      <c r="J13" s="56" t="s">
        <v>314</v>
      </c>
      <c r="K13" s="57">
        <v>2026.0</v>
      </c>
      <c r="L13" s="57" t="s">
        <v>315</v>
      </c>
      <c r="M13" s="57" t="s">
        <v>387</v>
      </c>
      <c r="N13" s="62" t="s">
        <v>347</v>
      </c>
      <c r="O13" s="34"/>
      <c r="P13" s="57" t="s">
        <v>52</v>
      </c>
      <c r="Q13" s="58" t="str">
        <f t="shared" si="2"/>
        <v>Pilar FinancieroFlexCube</v>
      </c>
      <c r="R13" s="56">
        <f t="shared" si="3"/>
        <v>1</v>
      </c>
      <c r="S13" s="56" t="s">
        <v>318</v>
      </c>
      <c r="T13" s="63"/>
      <c r="U13" s="63"/>
      <c r="V13" s="63"/>
      <c r="W13" s="63"/>
      <c r="X13" s="58" t="s">
        <v>397</v>
      </c>
      <c r="Y13" s="65" t="s">
        <v>222</v>
      </c>
      <c r="Z13" s="63"/>
      <c r="AA13" s="63"/>
      <c r="AB13" s="56" t="s">
        <v>398</v>
      </c>
      <c r="AC13" s="56" t="s">
        <v>399</v>
      </c>
      <c r="AD13" s="58" t="s">
        <v>400</v>
      </c>
      <c r="AE13" s="58" t="s">
        <v>401</v>
      </c>
      <c r="AF13" s="58" t="s">
        <v>207</v>
      </c>
      <c r="AG13" s="58" t="s">
        <v>207</v>
      </c>
      <c r="AH13" s="57" t="s">
        <v>392</v>
      </c>
      <c r="AI13" s="56" t="s">
        <v>8</v>
      </c>
      <c r="AJ13" s="63"/>
      <c r="AK13" s="63"/>
      <c r="AL13" s="58" t="s">
        <v>355</v>
      </c>
      <c r="AM13" s="63"/>
      <c r="AN13" s="63"/>
      <c r="AO13" s="58" t="s">
        <v>402</v>
      </c>
      <c r="AP13" s="58" t="s">
        <v>322</v>
      </c>
      <c r="AQ13" s="58" t="s">
        <v>340</v>
      </c>
      <c r="AR13" s="58" t="s">
        <v>341</v>
      </c>
    </row>
    <row r="14">
      <c r="A14" s="68">
        <v>113.0</v>
      </c>
      <c r="B14" s="57" t="s">
        <v>52</v>
      </c>
      <c r="C14" s="57" t="s">
        <v>310</v>
      </c>
      <c r="D14" s="58" t="s">
        <v>222</v>
      </c>
      <c r="E14" s="59" t="s">
        <v>52</v>
      </c>
      <c r="F14" s="60">
        <f t="shared" si="1"/>
        <v>0</v>
      </c>
      <c r="G14" s="58" t="s">
        <v>403</v>
      </c>
      <c r="H14" s="61" t="s">
        <v>312</v>
      </c>
      <c r="I14" s="56" t="s">
        <v>313</v>
      </c>
      <c r="J14" s="56" t="s">
        <v>314</v>
      </c>
      <c r="K14" s="57">
        <v>2026.0</v>
      </c>
      <c r="L14" s="57" t="s">
        <v>315</v>
      </c>
      <c r="M14" s="57" t="s">
        <v>387</v>
      </c>
      <c r="N14" s="62" t="s">
        <v>347</v>
      </c>
      <c r="O14" s="34"/>
      <c r="P14" s="57" t="s">
        <v>52</v>
      </c>
      <c r="Q14" s="58" t="str">
        <f t="shared" si="2"/>
        <v>Pilar FinancieroScoring</v>
      </c>
      <c r="R14" s="56">
        <f t="shared" si="3"/>
        <v>1</v>
      </c>
      <c r="S14" s="56" t="s">
        <v>318</v>
      </c>
      <c r="T14" s="63"/>
      <c r="U14" s="63"/>
      <c r="V14" s="63"/>
      <c r="W14" s="63"/>
      <c r="X14" s="58" t="s">
        <v>404</v>
      </c>
      <c r="Y14" s="65" t="s">
        <v>222</v>
      </c>
      <c r="Z14" s="63"/>
      <c r="AA14" s="63"/>
      <c r="AB14" s="56" t="s">
        <v>398</v>
      </c>
      <c r="AC14" s="56" t="s">
        <v>399</v>
      </c>
      <c r="AD14" s="58" t="s">
        <v>400</v>
      </c>
      <c r="AE14" s="58" t="s">
        <v>401</v>
      </c>
      <c r="AF14" s="58" t="s">
        <v>207</v>
      </c>
      <c r="AG14" s="58" t="s">
        <v>207</v>
      </c>
      <c r="AH14" s="57" t="s">
        <v>392</v>
      </c>
      <c r="AI14" s="56" t="s">
        <v>8</v>
      </c>
      <c r="AJ14" s="63"/>
      <c r="AK14" s="63"/>
      <c r="AL14" s="58" t="s">
        <v>355</v>
      </c>
      <c r="AM14" s="63"/>
      <c r="AN14" s="63"/>
      <c r="AO14" s="58" t="s">
        <v>405</v>
      </c>
      <c r="AP14" s="58" t="s">
        <v>322</v>
      </c>
      <c r="AQ14" s="58" t="s">
        <v>340</v>
      </c>
      <c r="AR14" s="58" t="s">
        <v>341</v>
      </c>
    </row>
    <row r="15">
      <c r="A15" s="56">
        <v>114.0</v>
      </c>
      <c r="B15" s="57" t="s">
        <v>52</v>
      </c>
      <c r="C15" s="57" t="s">
        <v>310</v>
      </c>
      <c r="D15" s="58" t="s">
        <v>222</v>
      </c>
      <c r="E15" s="59" t="s">
        <v>52</v>
      </c>
      <c r="F15" s="60">
        <f t="shared" si="1"/>
        <v>0</v>
      </c>
      <c r="G15" s="58" t="s">
        <v>406</v>
      </c>
      <c r="H15" s="61" t="s">
        <v>312</v>
      </c>
      <c r="I15" s="56" t="s">
        <v>313</v>
      </c>
      <c r="J15" s="56" t="s">
        <v>314</v>
      </c>
      <c r="K15" s="57">
        <v>2026.0</v>
      </c>
      <c r="L15" s="57" t="s">
        <v>315</v>
      </c>
      <c r="M15" s="57" t="s">
        <v>387</v>
      </c>
      <c r="N15" s="62" t="s">
        <v>347</v>
      </c>
      <c r="O15" s="34"/>
      <c r="P15" s="57" t="s">
        <v>52</v>
      </c>
      <c r="Q15" s="58" t="str">
        <f t="shared" si="2"/>
        <v>Pilar FinancieroSiebel</v>
      </c>
      <c r="R15" s="56">
        <f t="shared" si="3"/>
        <v>1</v>
      </c>
      <c r="S15" s="56" t="s">
        <v>318</v>
      </c>
      <c r="T15" s="63"/>
      <c r="U15" s="63"/>
      <c r="V15" s="63"/>
      <c r="W15" s="63"/>
      <c r="X15" s="58" t="s">
        <v>407</v>
      </c>
      <c r="Y15" s="65" t="s">
        <v>222</v>
      </c>
      <c r="Z15" s="63"/>
      <c r="AA15" s="63"/>
      <c r="AB15" s="56" t="s">
        <v>398</v>
      </c>
      <c r="AC15" s="56" t="s">
        <v>399</v>
      </c>
      <c r="AD15" s="58" t="s">
        <v>400</v>
      </c>
      <c r="AE15" s="58" t="s">
        <v>401</v>
      </c>
      <c r="AF15" s="58" t="s">
        <v>207</v>
      </c>
      <c r="AG15" s="58" t="s">
        <v>207</v>
      </c>
      <c r="AH15" s="57" t="s">
        <v>392</v>
      </c>
      <c r="AI15" s="56" t="s">
        <v>8</v>
      </c>
      <c r="AJ15" s="63"/>
      <c r="AK15" s="63"/>
      <c r="AL15" s="58" t="s">
        <v>355</v>
      </c>
      <c r="AM15" s="63"/>
      <c r="AN15" s="63"/>
      <c r="AO15" s="58" t="s">
        <v>408</v>
      </c>
      <c r="AP15" s="58" t="s">
        <v>322</v>
      </c>
      <c r="AQ15" s="58" t="s">
        <v>340</v>
      </c>
      <c r="AR15" s="58" t="s">
        <v>341</v>
      </c>
    </row>
    <row r="16">
      <c r="A16" s="68">
        <v>115.0</v>
      </c>
      <c r="B16" s="57" t="s">
        <v>52</v>
      </c>
      <c r="C16" s="57" t="s">
        <v>310</v>
      </c>
      <c r="D16" s="58" t="s">
        <v>222</v>
      </c>
      <c r="E16" s="59" t="s">
        <v>52</v>
      </c>
      <c r="F16" s="60">
        <f t="shared" si="1"/>
        <v>0</v>
      </c>
      <c r="G16" s="58" t="s">
        <v>409</v>
      </c>
      <c r="H16" s="61" t="s">
        <v>312</v>
      </c>
      <c r="I16" s="56" t="s">
        <v>313</v>
      </c>
      <c r="J16" s="56" t="s">
        <v>314</v>
      </c>
      <c r="K16" s="57">
        <v>2026.0</v>
      </c>
      <c r="L16" s="57" t="s">
        <v>315</v>
      </c>
      <c r="M16" s="57" t="s">
        <v>387</v>
      </c>
      <c r="N16" s="62" t="s">
        <v>347</v>
      </c>
      <c r="O16" s="34"/>
      <c r="P16" s="57" t="s">
        <v>52</v>
      </c>
      <c r="Q16" s="58" t="str">
        <f t="shared" si="2"/>
        <v>Pilar FinancieroSOA PF</v>
      </c>
      <c r="R16" s="56">
        <f t="shared" si="3"/>
        <v>1</v>
      </c>
      <c r="S16" s="56" t="s">
        <v>318</v>
      </c>
      <c r="T16" s="63"/>
      <c r="U16" s="63"/>
      <c r="V16" s="63"/>
      <c r="W16" s="63"/>
      <c r="X16" s="58" t="s">
        <v>410</v>
      </c>
      <c r="Y16" s="65" t="s">
        <v>222</v>
      </c>
      <c r="Z16" s="63"/>
      <c r="AA16" s="63"/>
      <c r="AB16" s="56" t="s">
        <v>398</v>
      </c>
      <c r="AC16" s="56" t="s">
        <v>399</v>
      </c>
      <c r="AD16" s="58" t="s">
        <v>411</v>
      </c>
      <c r="AE16" s="58" t="s">
        <v>401</v>
      </c>
      <c r="AF16" s="58" t="s">
        <v>207</v>
      </c>
      <c r="AG16" s="58" t="s">
        <v>207</v>
      </c>
      <c r="AH16" s="57" t="s">
        <v>392</v>
      </c>
      <c r="AI16" s="56" t="s">
        <v>8</v>
      </c>
      <c r="AJ16" s="63"/>
      <c r="AK16" s="63"/>
      <c r="AL16" s="58" t="s">
        <v>355</v>
      </c>
      <c r="AM16" s="63"/>
      <c r="AN16" s="63"/>
      <c r="AO16" s="58" t="s">
        <v>412</v>
      </c>
      <c r="AP16" s="58" t="s">
        <v>322</v>
      </c>
      <c r="AQ16" s="58" t="s">
        <v>340</v>
      </c>
      <c r="AR16" s="58" t="s">
        <v>341</v>
      </c>
    </row>
    <row r="17">
      <c r="A17" s="56">
        <v>116.0</v>
      </c>
      <c r="B17" s="57" t="s">
        <v>52</v>
      </c>
      <c r="C17" s="57" t="s">
        <v>310</v>
      </c>
      <c r="D17" s="58" t="s">
        <v>222</v>
      </c>
      <c r="E17" s="59" t="s">
        <v>52</v>
      </c>
      <c r="F17" s="60">
        <f t="shared" si="1"/>
        <v>0</v>
      </c>
      <c r="G17" s="58" t="s">
        <v>413</v>
      </c>
      <c r="H17" s="61" t="s">
        <v>312</v>
      </c>
      <c r="I17" s="56" t="s">
        <v>326</v>
      </c>
      <c r="J17" s="56" t="s">
        <v>327</v>
      </c>
      <c r="K17" s="66"/>
      <c r="L17" s="66"/>
      <c r="M17" s="57" t="s">
        <v>328</v>
      </c>
      <c r="N17" s="62" t="s">
        <v>317</v>
      </c>
      <c r="O17" s="34"/>
      <c r="P17" s="57" t="s">
        <v>52</v>
      </c>
      <c r="Q17" s="58" t="str">
        <f t="shared" si="2"/>
        <v>Pilar FinancieroGestión de Reprogramaciones INIC-413</v>
      </c>
      <c r="R17" s="56">
        <f t="shared" si="3"/>
        <v>1</v>
      </c>
      <c r="S17" s="56" t="s">
        <v>318</v>
      </c>
      <c r="T17" s="63"/>
      <c r="U17" s="63"/>
      <c r="V17" s="63"/>
      <c r="W17" s="67" t="s">
        <v>414</v>
      </c>
      <c r="X17" s="58" t="s">
        <v>415</v>
      </c>
      <c r="Y17" s="63"/>
      <c r="Z17" s="63"/>
      <c r="AA17" s="63"/>
      <c r="AB17" s="63"/>
      <c r="AC17" s="63"/>
      <c r="AD17" s="63"/>
      <c r="AE17" s="58" t="s">
        <v>337</v>
      </c>
      <c r="AF17" s="58" t="s">
        <v>250</v>
      </c>
      <c r="AG17" s="58" t="s">
        <v>338</v>
      </c>
      <c r="AH17" s="57" t="s">
        <v>392</v>
      </c>
      <c r="AI17" s="56" t="s">
        <v>339</v>
      </c>
      <c r="AJ17" s="63"/>
      <c r="AK17" s="63"/>
      <c r="AL17" s="58" t="s">
        <v>355</v>
      </c>
      <c r="AM17" s="63"/>
      <c r="AN17" s="63"/>
      <c r="AO17" s="58" t="s">
        <v>416</v>
      </c>
      <c r="AP17" s="58" t="s">
        <v>322</v>
      </c>
      <c r="AQ17" s="58" t="s">
        <v>340</v>
      </c>
      <c r="AR17" s="58" t="s">
        <v>341</v>
      </c>
    </row>
    <row r="18">
      <c r="A18" s="68">
        <v>117.0</v>
      </c>
      <c r="B18" s="57" t="s">
        <v>52</v>
      </c>
      <c r="C18" s="57" t="s">
        <v>310</v>
      </c>
      <c r="D18" s="58" t="s">
        <v>222</v>
      </c>
      <c r="E18" s="59" t="s">
        <v>52</v>
      </c>
      <c r="F18" s="60">
        <f t="shared" si="1"/>
        <v>0</v>
      </c>
      <c r="G18" s="58" t="s">
        <v>417</v>
      </c>
      <c r="H18" s="61" t="s">
        <v>312</v>
      </c>
      <c r="I18" s="56" t="s">
        <v>326</v>
      </c>
      <c r="J18" s="56" t="s">
        <v>327</v>
      </c>
      <c r="K18" s="66"/>
      <c r="L18" s="66"/>
      <c r="M18" s="57" t="s">
        <v>387</v>
      </c>
      <c r="N18" s="62" t="s">
        <v>347</v>
      </c>
      <c r="O18" s="34"/>
      <c r="P18" s="57" t="s">
        <v>52</v>
      </c>
      <c r="Q18" s="58" t="str">
        <f t="shared" si="2"/>
        <v>Pilar FinancieroHistorico WebCenterContent PF</v>
      </c>
      <c r="R18" s="56">
        <f t="shared" si="3"/>
        <v>1</v>
      </c>
      <c r="S18" s="56" t="s">
        <v>318</v>
      </c>
      <c r="T18" s="63"/>
      <c r="U18" s="63"/>
      <c r="V18" s="63"/>
      <c r="W18" s="63"/>
      <c r="X18" s="63"/>
      <c r="Y18" s="65" t="s">
        <v>418</v>
      </c>
      <c r="Z18" s="63"/>
      <c r="AA18" s="63"/>
      <c r="AB18" s="63"/>
      <c r="AC18" s="63"/>
      <c r="AD18" s="63"/>
      <c r="AE18" s="63"/>
      <c r="AF18" s="63"/>
      <c r="AG18" s="63"/>
      <c r="AH18" s="57" t="s">
        <v>392</v>
      </c>
      <c r="AI18" s="63"/>
      <c r="AJ18" s="63"/>
      <c r="AK18" s="63"/>
      <c r="AL18" s="58" t="s">
        <v>355</v>
      </c>
      <c r="AM18" s="63"/>
      <c r="AN18" s="63"/>
      <c r="AO18" s="58" t="s">
        <v>419</v>
      </c>
      <c r="AP18" s="58" t="s">
        <v>322</v>
      </c>
      <c r="AQ18" s="58" t="s">
        <v>340</v>
      </c>
      <c r="AR18" s="58" t="s">
        <v>341</v>
      </c>
    </row>
    <row r="19">
      <c r="A19" s="56">
        <v>118.0</v>
      </c>
      <c r="B19" s="57" t="s">
        <v>52</v>
      </c>
      <c r="C19" s="57" t="s">
        <v>310</v>
      </c>
      <c r="D19" s="58" t="s">
        <v>222</v>
      </c>
      <c r="E19" s="59" t="s">
        <v>52</v>
      </c>
      <c r="F19" s="60">
        <f t="shared" si="1"/>
        <v>0</v>
      </c>
      <c r="G19" s="58" t="s">
        <v>420</v>
      </c>
      <c r="H19" s="61" t="s">
        <v>312</v>
      </c>
      <c r="I19" s="56" t="s">
        <v>326</v>
      </c>
      <c r="J19" s="56" t="s">
        <v>327</v>
      </c>
      <c r="K19" s="66"/>
      <c r="L19" s="66"/>
      <c r="M19" s="57" t="s">
        <v>366</v>
      </c>
      <c r="N19" s="62" t="s">
        <v>347</v>
      </c>
      <c r="O19" s="62" t="s">
        <v>348</v>
      </c>
      <c r="P19" s="57" t="s">
        <v>52</v>
      </c>
      <c r="Q19" s="58" t="str">
        <f t="shared" si="2"/>
        <v>Pilar FinancieroAPB (Plan de Bienestar)</v>
      </c>
      <c r="R19" s="56">
        <f t="shared" si="3"/>
        <v>1</v>
      </c>
      <c r="S19" s="56" t="s">
        <v>318</v>
      </c>
      <c r="T19" s="63"/>
      <c r="U19" s="63"/>
      <c r="V19" s="58" t="s">
        <v>421</v>
      </c>
      <c r="W19" s="63"/>
      <c r="X19" s="58" t="s">
        <v>422</v>
      </c>
      <c r="Y19" s="65" t="s">
        <v>222</v>
      </c>
      <c r="Z19" s="56" t="s">
        <v>362</v>
      </c>
      <c r="AA19" s="63"/>
      <c r="AB19" s="56" t="s">
        <v>423</v>
      </c>
      <c r="AC19" s="56" t="s">
        <v>335</v>
      </c>
      <c r="AD19" s="58" t="s">
        <v>391</v>
      </c>
      <c r="AE19" s="58" t="s">
        <v>337</v>
      </c>
      <c r="AF19" s="58" t="s">
        <v>338</v>
      </c>
      <c r="AG19" s="63"/>
      <c r="AH19" s="57" t="s">
        <v>392</v>
      </c>
      <c r="AI19" s="56" t="s">
        <v>8</v>
      </c>
      <c r="AJ19" s="63"/>
      <c r="AK19" s="63"/>
      <c r="AL19" s="58" t="s">
        <v>355</v>
      </c>
      <c r="AM19" s="63"/>
      <c r="AN19" s="63"/>
      <c r="AO19" s="58" t="s">
        <v>419</v>
      </c>
      <c r="AP19" s="58" t="s">
        <v>322</v>
      </c>
      <c r="AQ19" s="58" t="s">
        <v>340</v>
      </c>
      <c r="AR19" s="58" t="s">
        <v>341</v>
      </c>
    </row>
    <row r="20">
      <c r="A20" s="68">
        <v>119.0</v>
      </c>
      <c r="B20" s="57" t="s">
        <v>52</v>
      </c>
      <c r="C20" s="57" t="s">
        <v>310</v>
      </c>
      <c r="D20" s="58" t="s">
        <v>222</v>
      </c>
      <c r="E20" s="59" t="s">
        <v>52</v>
      </c>
      <c r="F20" s="60">
        <f t="shared" si="1"/>
        <v>1</v>
      </c>
      <c r="G20" s="58" t="s">
        <v>424</v>
      </c>
      <c r="H20" s="61" t="s">
        <v>312</v>
      </c>
      <c r="I20" s="56" t="s">
        <v>326</v>
      </c>
      <c r="J20" s="56" t="s">
        <v>327</v>
      </c>
      <c r="K20" s="66"/>
      <c r="L20" s="66"/>
      <c r="M20" s="57" t="s">
        <v>366</v>
      </c>
      <c r="N20" s="62" t="s">
        <v>347</v>
      </c>
      <c r="O20" s="62" t="s">
        <v>348</v>
      </c>
      <c r="P20" s="57" t="s">
        <v>52</v>
      </c>
      <c r="Q20" s="58" t="str">
        <f t="shared" si="2"/>
        <v>Pilar FinancieroDMS</v>
      </c>
      <c r="R20" s="56">
        <f t="shared" si="3"/>
        <v>1</v>
      </c>
      <c r="S20" s="56" t="s">
        <v>318</v>
      </c>
      <c r="T20" s="63"/>
      <c r="U20" s="63"/>
      <c r="V20" s="63"/>
      <c r="W20" s="58" t="s">
        <v>425</v>
      </c>
      <c r="X20" s="58" t="s">
        <v>426</v>
      </c>
      <c r="Y20" s="65" t="s">
        <v>222</v>
      </c>
      <c r="Z20" s="56" t="s">
        <v>362</v>
      </c>
      <c r="AA20" s="63"/>
      <c r="AB20" s="56" t="s">
        <v>398</v>
      </c>
      <c r="AC20" s="56" t="s">
        <v>335</v>
      </c>
      <c r="AD20" s="58" t="s">
        <v>391</v>
      </c>
      <c r="AE20" s="58" t="s">
        <v>337</v>
      </c>
      <c r="AF20" s="58" t="s">
        <v>427</v>
      </c>
      <c r="AG20" s="58" t="s">
        <v>338</v>
      </c>
      <c r="AH20" s="57" t="s">
        <v>392</v>
      </c>
      <c r="AI20" s="56" t="s">
        <v>8</v>
      </c>
      <c r="AJ20" s="63"/>
      <c r="AK20" s="63"/>
      <c r="AL20" s="58" t="s">
        <v>355</v>
      </c>
      <c r="AM20" s="63"/>
      <c r="AN20" s="63"/>
      <c r="AO20" s="58" t="s">
        <v>419</v>
      </c>
      <c r="AP20" s="58" t="s">
        <v>322</v>
      </c>
      <c r="AQ20" s="58" t="s">
        <v>340</v>
      </c>
      <c r="AR20" s="58" t="s">
        <v>341</v>
      </c>
    </row>
    <row r="21">
      <c r="A21" s="56">
        <v>122.0</v>
      </c>
      <c r="B21" s="57" t="s">
        <v>53</v>
      </c>
      <c r="C21" s="57" t="s">
        <v>52</v>
      </c>
      <c r="D21" s="58" t="s">
        <v>428</v>
      </c>
      <c r="E21" s="59" t="s">
        <v>52</v>
      </c>
      <c r="F21" s="60">
        <f t="shared" si="1"/>
        <v>1</v>
      </c>
      <c r="G21" s="58" t="s">
        <v>428</v>
      </c>
      <c r="H21" s="61" t="s">
        <v>312</v>
      </c>
      <c r="I21" s="56" t="s">
        <v>313</v>
      </c>
      <c r="J21" s="56" t="s">
        <v>314</v>
      </c>
      <c r="K21" s="57">
        <v>2026.0</v>
      </c>
      <c r="L21" s="57" t="s">
        <v>315</v>
      </c>
      <c r="M21" s="57" t="s">
        <v>387</v>
      </c>
      <c r="N21" s="62" t="s">
        <v>379</v>
      </c>
      <c r="O21" s="34"/>
      <c r="P21" s="57" t="s">
        <v>52</v>
      </c>
      <c r="Q21" s="58" t="str">
        <f t="shared" si="2"/>
        <v>Portabilidad FinancieraPortabilidad Financiera</v>
      </c>
      <c r="R21" s="56">
        <f t="shared" si="3"/>
        <v>1</v>
      </c>
      <c r="S21" s="56" t="s">
        <v>318</v>
      </c>
      <c r="T21" s="63"/>
      <c r="U21" s="63"/>
      <c r="V21" s="63"/>
      <c r="W21" s="63"/>
      <c r="X21" s="58" t="s">
        <v>429</v>
      </c>
      <c r="Y21" s="65" t="s">
        <v>428</v>
      </c>
      <c r="Z21" s="63"/>
      <c r="AA21" s="63"/>
      <c r="AB21" s="63"/>
      <c r="AC21" s="63"/>
      <c r="AD21" s="63"/>
      <c r="AE21" s="63"/>
      <c r="AF21" s="63"/>
      <c r="AG21" s="63"/>
      <c r="AH21" s="57" t="s">
        <v>369</v>
      </c>
      <c r="AI21" s="63"/>
      <c r="AJ21" s="63"/>
      <c r="AK21" s="63"/>
      <c r="AL21" s="58" t="s">
        <v>321</v>
      </c>
      <c r="AM21" s="63"/>
      <c r="AN21" s="63"/>
      <c r="AO21" s="63"/>
      <c r="AP21" s="58" t="s">
        <v>322</v>
      </c>
      <c r="AQ21" s="58" t="s">
        <v>340</v>
      </c>
      <c r="AR21" s="58" t="s">
        <v>341</v>
      </c>
    </row>
    <row r="22">
      <c r="A22" s="56">
        <v>156.0</v>
      </c>
      <c r="B22" s="57" t="s">
        <v>53</v>
      </c>
      <c r="C22" s="57" t="s">
        <v>53</v>
      </c>
      <c r="D22" s="69" t="s">
        <v>430</v>
      </c>
      <c r="E22" s="66"/>
      <c r="F22" s="60">
        <v>1.0</v>
      </c>
      <c r="G22" s="69" t="s">
        <v>430</v>
      </c>
      <c r="H22" s="61" t="s">
        <v>312</v>
      </c>
      <c r="I22" s="56" t="s">
        <v>313</v>
      </c>
      <c r="J22" s="56" t="s">
        <v>345</v>
      </c>
      <c r="K22" s="57">
        <v>2025.0</v>
      </c>
      <c r="L22" s="57" t="s">
        <v>358</v>
      </c>
      <c r="M22" s="57" t="s">
        <v>316</v>
      </c>
      <c r="N22" s="62" t="s">
        <v>379</v>
      </c>
      <c r="O22" s="34"/>
      <c r="P22" s="57" t="s">
        <v>52</v>
      </c>
      <c r="Q22" s="19"/>
      <c r="R22" s="56">
        <v>1.0</v>
      </c>
      <c r="S22" s="56" t="s">
        <v>318</v>
      </c>
      <c r="T22" s="19"/>
      <c r="U22" s="19"/>
      <c r="V22" s="63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34"/>
      <c r="AI22" s="19"/>
      <c r="AJ22" s="19"/>
      <c r="AK22" s="19"/>
      <c r="AL22" s="69" t="s">
        <v>383</v>
      </c>
      <c r="AM22" s="19"/>
      <c r="AN22" s="19"/>
      <c r="AO22" s="19"/>
      <c r="AP22" s="58" t="s">
        <v>322</v>
      </c>
      <c r="AQ22" s="58" t="s">
        <v>340</v>
      </c>
      <c r="AR22" s="58" t="s">
        <v>341</v>
      </c>
    </row>
  </sheetData>
  <dataValidations>
    <dataValidation type="list" allowBlank="1" showErrorMessage="1" sqref="C2:C22">
      <formula1>"No,Parcialmente,Si"</formula1>
    </dataValidation>
    <dataValidation type="list" allowBlank="1" showErrorMessage="1" sqref="Z2:Z22">
      <formula1>".NET,ABAP,ASP,GCP - Api Java,Java,NJS,Oracle Forms,SAP,Visual Basic,N/A"</formula1>
    </dataValidation>
    <dataValidation type="list" allowBlank="1" showErrorMessage="1" sqref="E2:E22">
      <formula1>"No,Si"</formula1>
    </dataValidation>
    <dataValidation type="list" allowBlank="1" showErrorMessage="1" sqref="K2:K22">
      <formula1>"2023,2024,2025,2026,2020,2027,N/A"</formula1>
    </dataValidation>
    <dataValidation type="list" allowBlank="1" showErrorMessage="1" sqref="N2:N22">
      <formula1>"Se eliminará,Será reemplazado por un existente,Será reemplazado por uno nuevo,Se mantiene"</formula1>
    </dataValidation>
    <dataValidation type="list" allowBlank="1" showErrorMessage="1" sqref="S2:S22">
      <formula1>"Patricio Alegria,Argenis Rojas,Cristian Vera,Cristian Cofre,Rodrigo Ojeda,Nicolas Garcia,Raul Gaete,Enzo Lastra,Luis Gonzalez"</formula1>
    </dataValidation>
    <dataValidation type="list" allowBlank="1" showErrorMessage="1" sqref="M2:M22">
      <formula1>"Sin Decomisar Aún,En Proceso,Decomisado,Con Plan de Decomiso,No será decomisado,En Analisis,Upgrade,No está en uso"</formula1>
    </dataValidation>
    <dataValidation type="list" allowBlank="1" showErrorMessage="1" sqref="B2:B22">
      <formula1>"No,Si"</formula1>
    </dataValidation>
    <dataValidation type="list" allowBlank="1" showErrorMessage="1" sqref="J2:J22">
      <formula1>"2023 Q1,2023 Q2,2023 Q3,2023 Q4,2024 Q1,2024 Q2,2024 Q3,2024 Q4,2025 Q1,2025 Q2,2025 Q3,2025 Q4,2026 Q1,2026 Q2,2026 Q3,2026 Q4,Sin Decomiso,2020 Q1,2020 Q2,2020 Q3,2020 Q4,2027 Q1,2027 Q2,2027 Q3,2027 Q4"</formula1>
    </dataValidation>
    <dataValidation type="list" allowBlank="1" showErrorMessage="1" sqref="AC2:AC22">
      <formula1>"Custom,Package"</formula1>
    </dataValidation>
    <dataValidation type="list" allowBlank="1" showErrorMessage="1" sqref="H2:H22">
      <formula1>"Legales y Complementarios,Financieros,Data,Componentes Digitales,Automatizaciones,Fabrica Digital,Explotación,Producción,Gobierno TI"</formula1>
    </dataValidation>
    <dataValidation type="list" allowBlank="1" showErrorMessage="1" sqref="L2:L22">
      <formula1>"Q1,Q2,Q3,Q4,Ya Decomisado,N/A"</formula1>
    </dataValidation>
    <dataValidation type="list" allowBlank="1" showErrorMessage="1" sqref="AB2:AB22">
      <formula1>"Áreas de apoyo,Autenticacion Biomentrica,Beneficios - Salud,Canales,Canales Digitales Angular,Complementarias,Core-PrestacionesLegales,credito social,Datos,ETL - DATA,Firebase Angular,Firebase njs,GCP Canales Digitales,Genérico,GPC Cloud Storages,LLMM,ms-"&amp;"af-acreditaciones,ms-ahorro,ms-appmobile-backend,ms-beneficios,ms-creditos,ms-llmm-ingreso,ms-ratificacion-seguros,ms-tramo-facil-web-empresa,Prestaciones Financieras,Prestaciones Legales,Prestaciones legales,Prestaciones Legales - Licencias Médicas,Sopor"&amp;"te"</formula1>
    </dataValidation>
    <dataValidation type="list" allowBlank="1" showErrorMessage="1" sqref="AR2:AR22">
      <formula1>'Hoja Datos auxiliar'!$C$2:$C$45</formula1>
    </dataValidation>
    <dataValidation type="list" allowBlank="1" showErrorMessage="1" sqref="AH2:AH22">
      <formula1>"Dado de Baja,GCP,OCI,On Premise,SaaS Tercero"</formula1>
    </dataValidation>
    <dataValidation type="list" allowBlank="1" showErrorMessage="1" sqref="AI2:AI22">
      <formula1>"Aplicación,Back For Front End,Backend,Backend y Frontend,Front End,Servicio,Sitio Web,Workflow"</formula1>
    </dataValidation>
    <dataValidation type="list" allowBlank="1" showErrorMessage="1" sqref="P2:P22">
      <formula1>"Si,No"</formula1>
    </dataValidation>
    <dataValidation type="list" allowBlank="1" showErrorMessage="1" sqref="AP2:AP22">
      <formula1>'Hoja Datos auxiliar'!$A$2:$A$45</formula1>
    </dataValidation>
    <dataValidation type="list" allowBlank="1" showErrorMessage="1" sqref="AQ2:AQ22">
      <formula1>'Hoja Datos auxiliar'!$B$2:$B$330</formula1>
    </dataValidation>
    <dataValidation type="list" allowBlank="1" showErrorMessage="1" sqref="I2:I22">
      <formula1>"S,N,Cerrado"</formula1>
    </dataValidation>
  </dataValidations>
  <hyperlinks>
    <hyperlink r:id="rId2" ref="V2"/>
    <hyperlink r:id="rId3" ref="U3"/>
    <hyperlink r:id="rId4" ref="V5"/>
    <hyperlink r:id="rId5" ref="V7"/>
  </hyperlinks>
  <drawing r:id="rId6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2"/>
      <c r="B1" s="73" t="s">
        <v>431</v>
      </c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 t="s">
        <v>432</v>
      </c>
      <c r="Y1" s="72"/>
      <c r="Z1" s="72"/>
      <c r="AA1" s="72"/>
    </row>
    <row r="2">
      <c r="A2" s="76" t="s">
        <v>433</v>
      </c>
      <c r="B2" s="53" t="s">
        <v>434</v>
      </c>
      <c r="C2" s="53" t="s">
        <v>273</v>
      </c>
      <c r="D2" s="53" t="s">
        <v>275</v>
      </c>
      <c r="E2" s="53" t="s">
        <v>276</v>
      </c>
      <c r="F2" s="53" t="s">
        <v>277</v>
      </c>
      <c r="G2" s="53" t="s">
        <v>278</v>
      </c>
      <c r="H2" s="53" t="s">
        <v>279</v>
      </c>
      <c r="I2" s="53" t="s">
        <v>280</v>
      </c>
      <c r="J2" s="53" t="s">
        <v>10</v>
      </c>
      <c r="K2" s="53" t="s">
        <v>286</v>
      </c>
      <c r="L2" s="53" t="s">
        <v>287</v>
      </c>
      <c r="M2" s="53" t="s">
        <v>289</v>
      </c>
      <c r="N2" s="53" t="s">
        <v>290</v>
      </c>
      <c r="O2" s="53" t="s">
        <v>291</v>
      </c>
      <c r="P2" s="53" t="s">
        <v>297</v>
      </c>
      <c r="Q2" s="53" t="s">
        <v>298</v>
      </c>
      <c r="R2" s="53" t="s">
        <v>2</v>
      </c>
      <c r="S2" s="53" t="s">
        <v>299</v>
      </c>
      <c r="T2" s="53" t="s">
        <v>300</v>
      </c>
      <c r="U2" s="55" t="s">
        <v>302</v>
      </c>
      <c r="V2" s="55" t="s">
        <v>435</v>
      </c>
      <c r="W2" s="77" t="s">
        <v>436</v>
      </c>
      <c r="X2" s="77" t="s">
        <v>275</v>
      </c>
      <c r="Y2" s="76" t="s">
        <v>437</v>
      </c>
      <c r="Z2" s="76" t="s">
        <v>306</v>
      </c>
      <c r="AA2" s="76" t="s">
        <v>307</v>
      </c>
      <c r="AB2" s="76" t="s">
        <v>308</v>
      </c>
      <c r="AC2" s="76" t="s">
        <v>309</v>
      </c>
    </row>
    <row r="3">
      <c r="A3" s="78">
        <v>17.0</v>
      </c>
      <c r="B3" s="67" t="s">
        <v>325</v>
      </c>
      <c r="C3" s="59" t="s">
        <v>53</v>
      </c>
      <c r="D3" s="63"/>
      <c r="E3" s="61" t="s">
        <v>312</v>
      </c>
      <c r="F3" s="56" t="s">
        <v>326</v>
      </c>
      <c r="G3" s="56" t="s">
        <v>327</v>
      </c>
      <c r="H3" s="66"/>
      <c r="I3" s="66"/>
      <c r="J3" s="57" t="s">
        <v>328</v>
      </c>
      <c r="K3" s="56" t="s">
        <v>318</v>
      </c>
      <c r="L3" s="63"/>
      <c r="M3" s="63"/>
      <c r="N3" s="67" t="s">
        <v>330</v>
      </c>
      <c r="O3" s="58" t="s">
        <v>438</v>
      </c>
      <c r="P3" s="58" t="s">
        <v>336</v>
      </c>
      <c r="Q3" s="58" t="s">
        <v>337</v>
      </c>
      <c r="R3" s="58" t="s">
        <v>250</v>
      </c>
      <c r="S3" s="58" t="s">
        <v>338</v>
      </c>
      <c r="T3" s="57" t="s">
        <v>250</v>
      </c>
      <c r="U3" s="63"/>
      <c r="V3" s="63"/>
      <c r="W3" s="67" t="s">
        <v>325</v>
      </c>
      <c r="X3" s="63"/>
      <c r="Y3" s="56" t="s">
        <v>321</v>
      </c>
      <c r="Z3" s="63"/>
      <c r="AA3" s="58" t="s">
        <v>322</v>
      </c>
      <c r="AB3" s="58" t="s">
        <v>340</v>
      </c>
      <c r="AC3" s="58" t="s">
        <v>341</v>
      </c>
    </row>
    <row r="4">
      <c r="A4" s="78">
        <v>23.0</v>
      </c>
      <c r="B4" s="67" t="s">
        <v>342</v>
      </c>
      <c r="C4" s="59" t="s">
        <v>52</v>
      </c>
      <c r="D4" s="63"/>
      <c r="E4" s="61" t="s">
        <v>312</v>
      </c>
      <c r="F4" s="56" t="s">
        <v>326</v>
      </c>
      <c r="G4" s="56" t="s">
        <v>327</v>
      </c>
      <c r="H4" s="66"/>
      <c r="I4" s="66"/>
      <c r="J4" s="57" t="s">
        <v>328</v>
      </c>
      <c r="K4" s="56" t="s">
        <v>318</v>
      </c>
      <c r="L4" s="63"/>
      <c r="M4" s="63"/>
      <c r="N4" s="63"/>
      <c r="O4" s="63"/>
      <c r="P4" s="63"/>
      <c r="Q4" s="63"/>
      <c r="R4" s="63"/>
      <c r="S4" s="63"/>
      <c r="T4" s="66"/>
      <c r="U4" s="63"/>
      <c r="V4" s="63"/>
      <c r="W4" s="67" t="s">
        <v>342</v>
      </c>
      <c r="X4" s="63"/>
      <c r="Y4" s="56" t="s">
        <v>321</v>
      </c>
      <c r="Z4" s="63"/>
      <c r="AA4" s="58" t="s">
        <v>322</v>
      </c>
      <c r="AB4" s="58" t="s">
        <v>340</v>
      </c>
      <c r="AC4" s="58" t="s">
        <v>341</v>
      </c>
    </row>
    <row r="5">
      <c r="A5" s="78">
        <v>24.0</v>
      </c>
      <c r="B5" s="67" t="s">
        <v>343</v>
      </c>
      <c r="C5" s="59" t="s">
        <v>53</v>
      </c>
      <c r="D5" s="67" t="s">
        <v>344</v>
      </c>
      <c r="E5" s="61" t="s">
        <v>312</v>
      </c>
      <c r="F5" s="56" t="s">
        <v>313</v>
      </c>
      <c r="G5" s="56" t="s">
        <v>345</v>
      </c>
      <c r="H5" s="57">
        <v>2025.0</v>
      </c>
      <c r="I5" s="57" t="s">
        <v>315</v>
      </c>
      <c r="J5" s="57" t="s">
        <v>346</v>
      </c>
      <c r="K5" s="56" t="s">
        <v>318</v>
      </c>
      <c r="L5" s="63"/>
      <c r="M5" s="64" t="s">
        <v>349</v>
      </c>
      <c r="N5" s="58" t="s">
        <v>350</v>
      </c>
      <c r="O5" s="58" t="s">
        <v>351</v>
      </c>
      <c r="P5" s="58" t="s">
        <v>354</v>
      </c>
      <c r="Q5" s="58" t="s">
        <v>337</v>
      </c>
      <c r="R5" s="58" t="s">
        <v>250</v>
      </c>
      <c r="S5" s="58" t="s">
        <v>338</v>
      </c>
      <c r="T5" s="57" t="s">
        <v>250</v>
      </c>
      <c r="U5" s="63"/>
      <c r="V5" s="63"/>
      <c r="W5" s="67" t="s">
        <v>222</v>
      </c>
      <c r="X5" s="67" t="s">
        <v>439</v>
      </c>
      <c r="Y5" s="57" t="s">
        <v>355</v>
      </c>
      <c r="Z5" s="63"/>
      <c r="AA5" s="58" t="s">
        <v>322</v>
      </c>
      <c r="AB5" s="58" t="s">
        <v>340</v>
      </c>
      <c r="AC5" s="58" t="s">
        <v>341</v>
      </c>
    </row>
    <row r="6">
      <c r="A6" s="78">
        <v>25.0</v>
      </c>
      <c r="B6" s="67" t="s">
        <v>343</v>
      </c>
      <c r="C6" s="59" t="s">
        <v>53</v>
      </c>
      <c r="D6" s="67" t="s">
        <v>356</v>
      </c>
      <c r="E6" s="61" t="s">
        <v>312</v>
      </c>
      <c r="F6" s="56" t="s">
        <v>313</v>
      </c>
      <c r="G6" s="56" t="s">
        <v>357</v>
      </c>
      <c r="H6" s="57">
        <v>2025.0</v>
      </c>
      <c r="I6" s="57" t="s">
        <v>358</v>
      </c>
      <c r="J6" s="57" t="s">
        <v>346</v>
      </c>
      <c r="K6" s="56" t="s">
        <v>318</v>
      </c>
      <c r="L6" s="63"/>
      <c r="M6" s="63"/>
      <c r="N6" s="58" t="s">
        <v>359</v>
      </c>
      <c r="O6" s="58" t="s">
        <v>440</v>
      </c>
      <c r="P6" s="58" t="s">
        <v>336</v>
      </c>
      <c r="Q6" s="58" t="s">
        <v>337</v>
      </c>
      <c r="R6" s="58" t="s">
        <v>250</v>
      </c>
      <c r="S6" s="58" t="s">
        <v>338</v>
      </c>
      <c r="T6" s="57" t="s">
        <v>250</v>
      </c>
      <c r="U6" s="63"/>
      <c r="V6" s="63"/>
      <c r="W6" s="67" t="s">
        <v>222</v>
      </c>
      <c r="X6" s="67" t="s">
        <v>439</v>
      </c>
      <c r="Y6" s="57" t="s">
        <v>355</v>
      </c>
      <c r="Z6" s="63"/>
      <c r="AA6" s="58" t="s">
        <v>322</v>
      </c>
      <c r="AB6" s="58" t="s">
        <v>340</v>
      </c>
      <c r="AC6" s="58" t="s">
        <v>341</v>
      </c>
    </row>
    <row r="7">
      <c r="A7" s="78">
        <v>33.0</v>
      </c>
      <c r="B7" s="67" t="s">
        <v>441</v>
      </c>
      <c r="C7" s="59" t="s">
        <v>52</v>
      </c>
      <c r="D7" s="67" t="s">
        <v>441</v>
      </c>
      <c r="E7" s="61" t="s">
        <v>442</v>
      </c>
      <c r="F7" s="56" t="s">
        <v>313</v>
      </c>
      <c r="G7" s="56" t="s">
        <v>357</v>
      </c>
      <c r="H7" s="57">
        <v>2025.0</v>
      </c>
      <c r="I7" s="57" t="s">
        <v>358</v>
      </c>
      <c r="J7" s="57" t="s">
        <v>346</v>
      </c>
      <c r="K7" s="56" t="s">
        <v>443</v>
      </c>
      <c r="L7" s="63"/>
      <c r="M7" s="58" t="s">
        <v>444</v>
      </c>
      <c r="N7" s="58" t="s">
        <v>445</v>
      </c>
      <c r="O7" s="58" t="s">
        <v>441</v>
      </c>
      <c r="P7" s="58" t="s">
        <v>391</v>
      </c>
      <c r="Q7" s="58" t="s">
        <v>337</v>
      </c>
      <c r="R7" s="63"/>
      <c r="S7" s="58" t="s">
        <v>338</v>
      </c>
      <c r="T7" s="57" t="s">
        <v>369</v>
      </c>
      <c r="U7" s="63"/>
      <c r="V7" s="63"/>
      <c r="W7" s="67" t="s">
        <v>441</v>
      </c>
      <c r="X7" s="67" t="s">
        <v>441</v>
      </c>
      <c r="Y7" s="56" t="s">
        <v>321</v>
      </c>
      <c r="Z7" s="63"/>
      <c r="AA7" s="58" t="s">
        <v>322</v>
      </c>
      <c r="AB7" s="58" t="s">
        <v>340</v>
      </c>
      <c r="AC7" s="58" t="s">
        <v>341</v>
      </c>
    </row>
    <row r="8">
      <c r="A8" s="78">
        <v>34.0</v>
      </c>
      <c r="B8" s="67" t="s">
        <v>441</v>
      </c>
      <c r="C8" s="59" t="s">
        <v>52</v>
      </c>
      <c r="D8" s="67" t="s">
        <v>446</v>
      </c>
      <c r="E8" s="61" t="s">
        <v>442</v>
      </c>
      <c r="F8" s="56" t="s">
        <v>313</v>
      </c>
      <c r="G8" s="56" t="s">
        <v>357</v>
      </c>
      <c r="H8" s="57">
        <v>2025.0</v>
      </c>
      <c r="I8" s="57" t="s">
        <v>358</v>
      </c>
      <c r="J8" s="57" t="s">
        <v>346</v>
      </c>
      <c r="K8" s="56" t="s">
        <v>443</v>
      </c>
      <c r="L8" s="63"/>
      <c r="M8" s="58" t="s">
        <v>447</v>
      </c>
      <c r="N8" s="58" t="s">
        <v>445</v>
      </c>
      <c r="O8" s="58" t="s">
        <v>446</v>
      </c>
      <c r="P8" s="58" t="s">
        <v>391</v>
      </c>
      <c r="Q8" s="58" t="s">
        <v>337</v>
      </c>
      <c r="R8" s="58" t="s">
        <v>338</v>
      </c>
      <c r="S8" s="58" t="s">
        <v>338</v>
      </c>
      <c r="T8" s="57" t="s">
        <v>369</v>
      </c>
      <c r="U8" s="63"/>
      <c r="V8" s="63"/>
      <c r="W8" s="67" t="s">
        <v>441</v>
      </c>
      <c r="X8" s="67" t="s">
        <v>446</v>
      </c>
      <c r="Y8" s="56" t="s">
        <v>321</v>
      </c>
      <c r="Z8" s="63"/>
      <c r="AA8" s="58" t="s">
        <v>322</v>
      </c>
      <c r="AB8" s="58" t="s">
        <v>340</v>
      </c>
      <c r="AC8" s="58" t="s">
        <v>341</v>
      </c>
    </row>
    <row r="9">
      <c r="A9" s="78">
        <v>35.0</v>
      </c>
      <c r="B9" s="67" t="s">
        <v>441</v>
      </c>
      <c r="C9" s="59" t="s">
        <v>52</v>
      </c>
      <c r="D9" s="67" t="s">
        <v>448</v>
      </c>
      <c r="E9" s="61" t="s">
        <v>442</v>
      </c>
      <c r="F9" s="56" t="s">
        <v>313</v>
      </c>
      <c r="G9" s="56" t="s">
        <v>357</v>
      </c>
      <c r="H9" s="57">
        <v>2025.0</v>
      </c>
      <c r="I9" s="57" t="s">
        <v>358</v>
      </c>
      <c r="J9" s="57" t="s">
        <v>346</v>
      </c>
      <c r="K9" s="56" t="s">
        <v>443</v>
      </c>
      <c r="L9" s="63"/>
      <c r="M9" s="58" t="s">
        <v>447</v>
      </c>
      <c r="N9" s="58" t="s">
        <v>445</v>
      </c>
      <c r="O9" s="58" t="s">
        <v>448</v>
      </c>
      <c r="P9" s="58" t="s">
        <v>391</v>
      </c>
      <c r="Q9" s="58" t="s">
        <v>337</v>
      </c>
      <c r="R9" s="58" t="s">
        <v>338</v>
      </c>
      <c r="S9" s="58" t="s">
        <v>338</v>
      </c>
      <c r="T9" s="57" t="s">
        <v>369</v>
      </c>
      <c r="U9" s="63"/>
      <c r="V9" s="63"/>
      <c r="W9" s="67" t="s">
        <v>441</v>
      </c>
      <c r="X9" s="67" t="s">
        <v>448</v>
      </c>
      <c r="Y9" s="56" t="s">
        <v>321</v>
      </c>
      <c r="Z9" s="63"/>
      <c r="AA9" s="58" t="s">
        <v>322</v>
      </c>
      <c r="AB9" s="58" t="s">
        <v>340</v>
      </c>
      <c r="AC9" s="58" t="s">
        <v>341</v>
      </c>
    </row>
    <row r="10">
      <c r="A10" s="78">
        <v>36.0</v>
      </c>
      <c r="B10" s="67" t="s">
        <v>441</v>
      </c>
      <c r="C10" s="59" t="s">
        <v>52</v>
      </c>
      <c r="D10" s="67" t="s">
        <v>449</v>
      </c>
      <c r="E10" s="61" t="s">
        <v>442</v>
      </c>
      <c r="F10" s="56" t="s">
        <v>313</v>
      </c>
      <c r="G10" s="56" t="s">
        <v>357</v>
      </c>
      <c r="H10" s="57">
        <v>2025.0</v>
      </c>
      <c r="I10" s="57" t="s">
        <v>358</v>
      </c>
      <c r="J10" s="57" t="s">
        <v>346</v>
      </c>
      <c r="K10" s="56" t="s">
        <v>443</v>
      </c>
      <c r="L10" s="63"/>
      <c r="M10" s="58" t="s">
        <v>447</v>
      </c>
      <c r="N10" s="58" t="s">
        <v>445</v>
      </c>
      <c r="O10" s="58" t="s">
        <v>449</v>
      </c>
      <c r="P10" s="58" t="s">
        <v>391</v>
      </c>
      <c r="Q10" s="58" t="s">
        <v>337</v>
      </c>
      <c r="R10" s="58" t="s">
        <v>338</v>
      </c>
      <c r="S10" s="58" t="s">
        <v>338</v>
      </c>
      <c r="T10" s="57" t="s">
        <v>369</v>
      </c>
      <c r="U10" s="63"/>
      <c r="V10" s="63"/>
      <c r="W10" s="67" t="s">
        <v>441</v>
      </c>
      <c r="X10" s="67" t="s">
        <v>449</v>
      </c>
      <c r="Y10" s="56" t="s">
        <v>321</v>
      </c>
      <c r="Z10" s="63"/>
      <c r="AA10" s="58" t="s">
        <v>322</v>
      </c>
      <c r="AB10" s="58" t="s">
        <v>340</v>
      </c>
      <c r="AC10" s="58" t="s">
        <v>341</v>
      </c>
    </row>
    <row r="11">
      <c r="A11" s="79">
        <v>37.0</v>
      </c>
      <c r="B11" s="80" t="s">
        <v>441</v>
      </c>
      <c r="C11" s="59" t="s">
        <v>52</v>
      </c>
      <c r="D11" s="80" t="s">
        <v>450</v>
      </c>
      <c r="E11" s="61" t="s">
        <v>442</v>
      </c>
      <c r="F11" s="57" t="s">
        <v>313</v>
      </c>
      <c r="G11" s="57" t="s">
        <v>357</v>
      </c>
      <c r="H11" s="57">
        <v>2025.0</v>
      </c>
      <c r="I11" s="57" t="s">
        <v>358</v>
      </c>
      <c r="J11" s="57" t="s">
        <v>346</v>
      </c>
      <c r="K11" s="57" t="s">
        <v>443</v>
      </c>
      <c r="L11" s="66"/>
      <c r="M11" s="61" t="s">
        <v>447</v>
      </c>
      <c r="N11" s="61" t="s">
        <v>445</v>
      </c>
      <c r="O11" s="61" t="s">
        <v>450</v>
      </c>
      <c r="P11" s="61" t="s">
        <v>391</v>
      </c>
      <c r="Q11" s="61" t="s">
        <v>337</v>
      </c>
      <c r="R11" s="61" t="s">
        <v>338</v>
      </c>
      <c r="S11" s="61" t="s">
        <v>338</v>
      </c>
      <c r="T11" s="57" t="s">
        <v>369</v>
      </c>
      <c r="U11" s="66"/>
      <c r="V11" s="66"/>
      <c r="W11" s="66"/>
      <c r="X11" s="66"/>
      <c r="Y11" s="57" t="s">
        <v>451</v>
      </c>
      <c r="Z11" s="66"/>
      <c r="AA11" s="61" t="s">
        <v>322</v>
      </c>
      <c r="AB11" s="61" t="s">
        <v>340</v>
      </c>
      <c r="AC11" s="61" t="s">
        <v>341</v>
      </c>
    </row>
    <row r="12">
      <c r="A12" s="79">
        <v>38.0</v>
      </c>
      <c r="B12" s="80" t="s">
        <v>441</v>
      </c>
      <c r="C12" s="59" t="s">
        <v>52</v>
      </c>
      <c r="D12" s="80" t="s">
        <v>452</v>
      </c>
      <c r="E12" s="61" t="s">
        <v>442</v>
      </c>
      <c r="F12" s="57" t="s">
        <v>313</v>
      </c>
      <c r="G12" s="57" t="s">
        <v>357</v>
      </c>
      <c r="H12" s="57">
        <v>2025.0</v>
      </c>
      <c r="I12" s="57" t="s">
        <v>358</v>
      </c>
      <c r="J12" s="57" t="s">
        <v>346</v>
      </c>
      <c r="K12" s="57" t="s">
        <v>443</v>
      </c>
      <c r="L12" s="66"/>
      <c r="M12" s="61" t="s">
        <v>447</v>
      </c>
      <c r="N12" s="61" t="s">
        <v>445</v>
      </c>
      <c r="O12" s="61" t="s">
        <v>452</v>
      </c>
      <c r="P12" s="61" t="s">
        <v>391</v>
      </c>
      <c r="Q12" s="61" t="s">
        <v>337</v>
      </c>
      <c r="R12" s="61" t="s">
        <v>338</v>
      </c>
      <c r="S12" s="61" t="s">
        <v>338</v>
      </c>
      <c r="T12" s="57" t="s">
        <v>369</v>
      </c>
      <c r="U12" s="66"/>
      <c r="V12" s="66"/>
      <c r="W12" s="66"/>
      <c r="X12" s="66"/>
      <c r="Y12" s="57" t="s">
        <v>451</v>
      </c>
      <c r="Z12" s="66"/>
      <c r="AA12" s="61" t="s">
        <v>322</v>
      </c>
      <c r="AB12" s="61" t="s">
        <v>340</v>
      </c>
      <c r="AC12" s="61" t="s">
        <v>341</v>
      </c>
    </row>
    <row r="13">
      <c r="A13" s="78">
        <v>39.0</v>
      </c>
      <c r="B13" s="67" t="s">
        <v>441</v>
      </c>
      <c r="C13" s="59" t="s">
        <v>52</v>
      </c>
      <c r="D13" s="67" t="s">
        <v>453</v>
      </c>
      <c r="E13" s="61" t="s">
        <v>442</v>
      </c>
      <c r="F13" s="56" t="s">
        <v>313</v>
      </c>
      <c r="G13" s="56" t="s">
        <v>357</v>
      </c>
      <c r="H13" s="57">
        <v>2025.0</v>
      </c>
      <c r="I13" s="57" t="s">
        <v>358</v>
      </c>
      <c r="J13" s="57" t="s">
        <v>346</v>
      </c>
      <c r="K13" s="56" t="s">
        <v>443</v>
      </c>
      <c r="L13" s="63"/>
      <c r="M13" s="64" t="s">
        <v>443</v>
      </c>
      <c r="N13" s="58" t="s">
        <v>445</v>
      </c>
      <c r="O13" s="58" t="s">
        <v>453</v>
      </c>
      <c r="P13" s="58" t="s">
        <v>391</v>
      </c>
      <c r="Q13" s="58" t="s">
        <v>337</v>
      </c>
      <c r="R13" s="58" t="s">
        <v>338</v>
      </c>
      <c r="S13" s="58" t="s">
        <v>338</v>
      </c>
      <c r="T13" s="57" t="s">
        <v>369</v>
      </c>
      <c r="U13" s="63"/>
      <c r="V13" s="63"/>
      <c r="W13" s="67" t="s">
        <v>441</v>
      </c>
      <c r="X13" s="67" t="s">
        <v>453</v>
      </c>
      <c r="Y13" s="56" t="s">
        <v>321</v>
      </c>
      <c r="Z13" s="63"/>
      <c r="AA13" s="58" t="s">
        <v>322</v>
      </c>
      <c r="AB13" s="58" t="s">
        <v>340</v>
      </c>
      <c r="AC13" s="58" t="s">
        <v>341</v>
      </c>
    </row>
    <row r="14">
      <c r="A14" s="78">
        <v>40.0</v>
      </c>
      <c r="B14" s="67" t="s">
        <v>441</v>
      </c>
      <c r="C14" s="59" t="s">
        <v>52</v>
      </c>
      <c r="D14" s="67" t="s">
        <v>454</v>
      </c>
      <c r="E14" s="61" t="s">
        <v>442</v>
      </c>
      <c r="F14" s="56" t="s">
        <v>313</v>
      </c>
      <c r="G14" s="56" t="s">
        <v>357</v>
      </c>
      <c r="H14" s="57">
        <v>2025.0</v>
      </c>
      <c r="I14" s="57" t="s">
        <v>358</v>
      </c>
      <c r="J14" s="57" t="s">
        <v>346</v>
      </c>
      <c r="K14" s="56" t="s">
        <v>443</v>
      </c>
      <c r="L14" s="63"/>
      <c r="M14" s="64" t="s">
        <v>443</v>
      </c>
      <c r="N14" s="58" t="s">
        <v>445</v>
      </c>
      <c r="O14" s="58" t="s">
        <v>454</v>
      </c>
      <c r="P14" s="58" t="s">
        <v>391</v>
      </c>
      <c r="Q14" s="58" t="s">
        <v>337</v>
      </c>
      <c r="R14" s="58" t="s">
        <v>338</v>
      </c>
      <c r="S14" s="58" t="s">
        <v>338</v>
      </c>
      <c r="T14" s="57" t="s">
        <v>369</v>
      </c>
      <c r="U14" s="63"/>
      <c r="V14" s="63"/>
      <c r="W14" s="67" t="s">
        <v>441</v>
      </c>
      <c r="X14" s="67" t="s">
        <v>454</v>
      </c>
      <c r="Y14" s="56" t="s">
        <v>321</v>
      </c>
      <c r="Z14" s="63"/>
      <c r="AA14" s="58" t="s">
        <v>322</v>
      </c>
      <c r="AB14" s="58" t="s">
        <v>340</v>
      </c>
      <c r="AC14" s="58" t="s">
        <v>341</v>
      </c>
    </row>
    <row r="15">
      <c r="A15" s="78">
        <v>41.0</v>
      </c>
      <c r="B15" s="67" t="s">
        <v>441</v>
      </c>
      <c r="C15" s="59" t="s">
        <v>52</v>
      </c>
      <c r="D15" s="67" t="s">
        <v>454</v>
      </c>
      <c r="E15" s="61" t="s">
        <v>442</v>
      </c>
      <c r="F15" s="56" t="s">
        <v>313</v>
      </c>
      <c r="G15" s="56" t="s">
        <v>357</v>
      </c>
      <c r="H15" s="57">
        <v>2025.0</v>
      </c>
      <c r="I15" s="57" t="s">
        <v>358</v>
      </c>
      <c r="J15" s="57" t="s">
        <v>346</v>
      </c>
      <c r="K15" s="56" t="s">
        <v>443</v>
      </c>
      <c r="L15" s="63"/>
      <c r="M15" s="64" t="s">
        <v>443</v>
      </c>
      <c r="N15" s="58" t="s">
        <v>445</v>
      </c>
      <c r="O15" s="58" t="s">
        <v>454</v>
      </c>
      <c r="P15" s="58" t="s">
        <v>391</v>
      </c>
      <c r="Q15" s="58" t="s">
        <v>337</v>
      </c>
      <c r="R15" s="58" t="s">
        <v>338</v>
      </c>
      <c r="S15" s="58" t="s">
        <v>338</v>
      </c>
      <c r="T15" s="57" t="s">
        <v>369</v>
      </c>
      <c r="U15" s="63"/>
      <c r="V15" s="63"/>
      <c r="W15" s="67" t="s">
        <v>441</v>
      </c>
      <c r="X15" s="67" t="s">
        <v>454</v>
      </c>
      <c r="Y15" s="56" t="s">
        <v>321</v>
      </c>
      <c r="Z15" s="63"/>
      <c r="AA15" s="58" t="s">
        <v>322</v>
      </c>
      <c r="AB15" s="58" t="s">
        <v>340</v>
      </c>
      <c r="AC15" s="58" t="s">
        <v>341</v>
      </c>
    </row>
    <row r="16">
      <c r="A16" s="78">
        <v>45.0</v>
      </c>
      <c r="B16" s="67" t="s">
        <v>374</v>
      </c>
      <c r="C16" s="59" t="s">
        <v>53</v>
      </c>
      <c r="D16" s="63"/>
      <c r="E16" s="61" t="s">
        <v>312</v>
      </c>
      <c r="F16" s="56" t="s">
        <v>326</v>
      </c>
      <c r="G16" s="56" t="s">
        <v>327</v>
      </c>
      <c r="H16" s="66"/>
      <c r="I16" s="66"/>
      <c r="J16" s="57" t="s">
        <v>328</v>
      </c>
      <c r="K16" s="56" t="s">
        <v>318</v>
      </c>
      <c r="L16" s="63"/>
      <c r="M16" s="63"/>
      <c r="N16" s="63"/>
      <c r="O16" s="63"/>
      <c r="P16" s="63"/>
      <c r="Q16" s="63"/>
      <c r="R16" s="63"/>
      <c r="S16" s="63"/>
      <c r="T16" s="57" t="s">
        <v>250</v>
      </c>
      <c r="U16" s="63"/>
      <c r="V16" s="63"/>
      <c r="W16" s="67" t="s">
        <v>374</v>
      </c>
      <c r="X16" s="63"/>
      <c r="Y16" s="56" t="s">
        <v>321</v>
      </c>
      <c r="Z16" s="58" t="s">
        <v>317</v>
      </c>
      <c r="AA16" s="58" t="s">
        <v>371</v>
      </c>
      <c r="AB16" s="58" t="s">
        <v>376</v>
      </c>
      <c r="AC16" s="58" t="s">
        <v>377</v>
      </c>
    </row>
    <row r="17">
      <c r="A17" s="78">
        <v>51.0</v>
      </c>
      <c r="B17" s="67" t="s">
        <v>378</v>
      </c>
      <c r="C17" s="66"/>
      <c r="D17" s="63"/>
      <c r="E17" s="61" t="s">
        <v>312</v>
      </c>
      <c r="F17" s="56" t="s">
        <v>313</v>
      </c>
      <c r="G17" s="63"/>
      <c r="H17" s="66"/>
      <c r="I17" s="66"/>
      <c r="J17" s="57" t="s">
        <v>366</v>
      </c>
      <c r="K17" s="56" t="s">
        <v>318</v>
      </c>
      <c r="L17" s="63"/>
      <c r="M17" s="63"/>
      <c r="N17" s="63"/>
      <c r="O17" s="63"/>
      <c r="P17" s="63"/>
      <c r="Q17" s="63"/>
      <c r="R17" s="63"/>
      <c r="S17" s="63"/>
      <c r="T17" s="66"/>
      <c r="U17" s="63"/>
      <c r="V17" s="63"/>
      <c r="W17" s="67" t="s">
        <v>378</v>
      </c>
      <c r="X17" s="63"/>
      <c r="Y17" s="56" t="s">
        <v>321</v>
      </c>
      <c r="Z17" s="63"/>
      <c r="AA17" s="58" t="s">
        <v>322</v>
      </c>
      <c r="AB17" s="58" t="s">
        <v>340</v>
      </c>
      <c r="AC17" s="58" t="s">
        <v>341</v>
      </c>
    </row>
    <row r="18">
      <c r="A18" s="78">
        <v>52.0</v>
      </c>
      <c r="B18" s="67" t="s">
        <v>455</v>
      </c>
      <c r="C18" s="59" t="s">
        <v>52</v>
      </c>
      <c r="D18" s="67" t="s">
        <v>456</v>
      </c>
      <c r="E18" s="61" t="s">
        <v>457</v>
      </c>
      <c r="F18" s="56" t="s">
        <v>326</v>
      </c>
      <c r="G18" s="56" t="s">
        <v>327</v>
      </c>
      <c r="H18" s="66"/>
      <c r="I18" s="66"/>
      <c r="J18" s="57" t="s">
        <v>328</v>
      </c>
      <c r="K18" s="56" t="s">
        <v>349</v>
      </c>
      <c r="L18" s="63"/>
      <c r="M18" s="64" t="s">
        <v>349</v>
      </c>
      <c r="N18" s="58" t="s">
        <v>458</v>
      </c>
      <c r="O18" s="58" t="s">
        <v>351</v>
      </c>
      <c r="P18" s="58" t="s">
        <v>459</v>
      </c>
      <c r="Q18" s="58" t="s">
        <v>337</v>
      </c>
      <c r="R18" s="58" t="s">
        <v>250</v>
      </c>
      <c r="S18" s="58" t="s">
        <v>250</v>
      </c>
      <c r="T18" s="57" t="s">
        <v>250</v>
      </c>
      <c r="U18" s="63"/>
      <c r="V18" s="63"/>
      <c r="W18" s="63"/>
      <c r="X18" s="63"/>
      <c r="Y18" s="56" t="s">
        <v>383</v>
      </c>
      <c r="Z18" s="63"/>
      <c r="AA18" s="58" t="s">
        <v>322</v>
      </c>
      <c r="AB18" s="58" t="s">
        <v>340</v>
      </c>
      <c r="AC18" s="58" t="s">
        <v>341</v>
      </c>
    </row>
    <row r="19">
      <c r="A19" s="78">
        <v>68.0</v>
      </c>
      <c r="B19" s="67" t="s">
        <v>99</v>
      </c>
      <c r="C19" s="59" t="s">
        <v>53</v>
      </c>
      <c r="D19" s="81" t="s">
        <v>460</v>
      </c>
      <c r="E19" s="61" t="s">
        <v>442</v>
      </c>
      <c r="F19" s="56" t="s">
        <v>326</v>
      </c>
      <c r="G19" s="56" t="s">
        <v>327</v>
      </c>
      <c r="H19" s="66"/>
      <c r="I19" s="66"/>
      <c r="J19" s="57" t="s">
        <v>366</v>
      </c>
      <c r="K19" s="56" t="s">
        <v>443</v>
      </c>
      <c r="L19" s="63"/>
      <c r="M19" s="58" t="s">
        <v>461</v>
      </c>
      <c r="N19" s="58" t="s">
        <v>445</v>
      </c>
      <c r="O19" s="58" t="s">
        <v>462</v>
      </c>
      <c r="P19" s="58" t="s">
        <v>391</v>
      </c>
      <c r="Q19" s="58" t="s">
        <v>337</v>
      </c>
      <c r="R19" s="58" t="s">
        <v>338</v>
      </c>
      <c r="S19" s="58" t="s">
        <v>338</v>
      </c>
      <c r="T19" s="57" t="s">
        <v>392</v>
      </c>
      <c r="U19" s="63"/>
      <c r="V19" s="63"/>
      <c r="W19" s="67" t="s">
        <v>99</v>
      </c>
      <c r="X19" s="67" t="s">
        <v>460</v>
      </c>
      <c r="Y19" s="56" t="s">
        <v>321</v>
      </c>
      <c r="Z19" s="63"/>
      <c r="AA19" s="58" t="s">
        <v>322</v>
      </c>
      <c r="AB19" s="58" t="s">
        <v>340</v>
      </c>
      <c r="AC19" s="58" t="s">
        <v>341</v>
      </c>
    </row>
    <row r="20">
      <c r="A20" s="78">
        <v>69.0</v>
      </c>
      <c r="B20" s="67" t="s">
        <v>99</v>
      </c>
      <c r="C20" s="59" t="s">
        <v>53</v>
      </c>
      <c r="D20" s="81" t="s">
        <v>393</v>
      </c>
      <c r="E20" s="61" t="s">
        <v>102</v>
      </c>
      <c r="F20" s="56" t="s">
        <v>326</v>
      </c>
      <c r="G20" s="56" t="s">
        <v>327</v>
      </c>
      <c r="H20" s="66"/>
      <c r="I20" s="66"/>
      <c r="J20" s="57" t="s">
        <v>366</v>
      </c>
      <c r="K20" s="56" t="s">
        <v>103</v>
      </c>
      <c r="L20" s="63"/>
      <c r="M20" s="64" t="s">
        <v>463</v>
      </c>
      <c r="N20" s="63"/>
      <c r="O20" s="58" t="s">
        <v>464</v>
      </c>
      <c r="P20" s="58" t="s">
        <v>391</v>
      </c>
      <c r="Q20" s="58" t="s">
        <v>337</v>
      </c>
      <c r="R20" s="58" t="s">
        <v>338</v>
      </c>
      <c r="S20" s="58" t="s">
        <v>338</v>
      </c>
      <c r="T20" s="57" t="s">
        <v>392</v>
      </c>
      <c r="U20" s="63"/>
      <c r="V20" s="82">
        <v>1.0</v>
      </c>
      <c r="W20" s="67" t="s">
        <v>465</v>
      </c>
      <c r="X20" s="67" t="s">
        <v>466</v>
      </c>
      <c r="Y20" s="57" t="s">
        <v>355</v>
      </c>
      <c r="Z20" s="58" t="s">
        <v>467</v>
      </c>
      <c r="AA20" s="58" t="s">
        <v>322</v>
      </c>
      <c r="AB20" s="58" t="s">
        <v>340</v>
      </c>
      <c r="AC20" s="58" t="s">
        <v>341</v>
      </c>
    </row>
    <row r="21">
      <c r="A21" s="79">
        <v>70.0</v>
      </c>
      <c r="B21" s="80" t="s">
        <v>99</v>
      </c>
      <c r="C21" s="59" t="s">
        <v>53</v>
      </c>
      <c r="D21" s="83" t="s">
        <v>468</v>
      </c>
      <c r="E21" s="61" t="s">
        <v>442</v>
      </c>
      <c r="F21" s="57" t="s">
        <v>326</v>
      </c>
      <c r="G21" s="57" t="s">
        <v>327</v>
      </c>
      <c r="H21" s="66"/>
      <c r="I21" s="66"/>
      <c r="J21" s="57" t="s">
        <v>366</v>
      </c>
      <c r="K21" s="57" t="s">
        <v>443</v>
      </c>
      <c r="L21" s="66"/>
      <c r="M21" s="61" t="s">
        <v>469</v>
      </c>
      <c r="N21" s="66"/>
      <c r="O21" s="61" t="s">
        <v>470</v>
      </c>
      <c r="P21" s="61" t="s">
        <v>391</v>
      </c>
      <c r="Q21" s="61" t="s">
        <v>337</v>
      </c>
      <c r="R21" s="61" t="s">
        <v>338</v>
      </c>
      <c r="S21" s="61" t="s">
        <v>338</v>
      </c>
      <c r="T21" s="57" t="s">
        <v>392</v>
      </c>
      <c r="U21" s="66"/>
      <c r="V21" s="66"/>
      <c r="W21" s="66"/>
      <c r="X21" s="66"/>
      <c r="Y21" s="57" t="s">
        <v>451</v>
      </c>
      <c r="Z21" s="61" t="s">
        <v>471</v>
      </c>
      <c r="AA21" s="61" t="s">
        <v>322</v>
      </c>
      <c r="AB21" s="61" t="s">
        <v>340</v>
      </c>
      <c r="AC21" s="61" t="s">
        <v>341</v>
      </c>
    </row>
    <row r="22">
      <c r="A22" s="78">
        <v>75.0</v>
      </c>
      <c r="B22" s="67" t="s">
        <v>99</v>
      </c>
      <c r="C22" s="59" t="s">
        <v>53</v>
      </c>
      <c r="D22" s="81" t="s">
        <v>378</v>
      </c>
      <c r="E22" s="61" t="s">
        <v>442</v>
      </c>
      <c r="F22" s="56" t="s">
        <v>326</v>
      </c>
      <c r="G22" s="56" t="s">
        <v>327</v>
      </c>
      <c r="H22" s="66"/>
      <c r="I22" s="66"/>
      <c r="J22" s="57" t="s">
        <v>366</v>
      </c>
      <c r="K22" s="56" t="s">
        <v>443</v>
      </c>
      <c r="L22" s="63"/>
      <c r="M22" s="58" t="s">
        <v>472</v>
      </c>
      <c r="N22" s="63"/>
      <c r="O22" s="58" t="s">
        <v>473</v>
      </c>
      <c r="P22" s="58" t="s">
        <v>391</v>
      </c>
      <c r="Q22" s="58" t="s">
        <v>337</v>
      </c>
      <c r="R22" s="58" t="s">
        <v>338</v>
      </c>
      <c r="S22" s="58" t="s">
        <v>338</v>
      </c>
      <c r="T22" s="57" t="s">
        <v>392</v>
      </c>
      <c r="U22" s="63"/>
      <c r="V22" s="63"/>
      <c r="W22" s="67" t="s">
        <v>99</v>
      </c>
      <c r="X22" s="67" t="s">
        <v>378</v>
      </c>
      <c r="Y22" s="56" t="s">
        <v>321</v>
      </c>
      <c r="Z22" s="63"/>
      <c r="AA22" s="58" t="s">
        <v>322</v>
      </c>
      <c r="AB22" s="58" t="s">
        <v>340</v>
      </c>
      <c r="AC22" s="58" t="s">
        <v>341</v>
      </c>
    </row>
    <row r="23">
      <c r="A23" s="78">
        <v>101.0</v>
      </c>
      <c r="B23" s="67" t="s">
        <v>222</v>
      </c>
      <c r="C23" s="59" t="s">
        <v>52</v>
      </c>
      <c r="D23" s="67" t="s">
        <v>386</v>
      </c>
      <c r="E23" s="61" t="s">
        <v>312</v>
      </c>
      <c r="F23" s="56" t="s">
        <v>313</v>
      </c>
      <c r="G23" s="56" t="s">
        <v>314</v>
      </c>
      <c r="H23" s="57">
        <v>2026.0</v>
      </c>
      <c r="I23" s="57" t="s">
        <v>315</v>
      </c>
      <c r="J23" s="57" t="s">
        <v>387</v>
      </c>
      <c r="K23" s="56" t="s">
        <v>318</v>
      </c>
      <c r="L23" s="63"/>
      <c r="M23" s="63"/>
      <c r="N23" s="63"/>
      <c r="O23" s="58" t="s">
        <v>388</v>
      </c>
      <c r="P23" s="58" t="s">
        <v>391</v>
      </c>
      <c r="Q23" s="58" t="s">
        <v>337</v>
      </c>
      <c r="R23" s="58" t="s">
        <v>338</v>
      </c>
      <c r="S23" s="63"/>
      <c r="T23" s="57" t="s">
        <v>392</v>
      </c>
      <c r="U23" s="63"/>
      <c r="V23" s="63"/>
      <c r="W23" s="67" t="s">
        <v>222</v>
      </c>
      <c r="X23" s="67" t="s">
        <v>386</v>
      </c>
      <c r="Y23" s="56" t="s">
        <v>321</v>
      </c>
      <c r="Z23" s="63"/>
      <c r="AA23" s="58" t="s">
        <v>322</v>
      </c>
      <c r="AB23" s="58" t="s">
        <v>340</v>
      </c>
      <c r="AC23" s="58" t="s">
        <v>341</v>
      </c>
    </row>
    <row r="24">
      <c r="A24" s="78">
        <v>102.0</v>
      </c>
      <c r="B24" s="67" t="s">
        <v>222</v>
      </c>
      <c r="C24" s="59" t="s">
        <v>52</v>
      </c>
      <c r="D24" s="67" t="s">
        <v>393</v>
      </c>
      <c r="E24" s="61" t="s">
        <v>312</v>
      </c>
      <c r="F24" s="56" t="s">
        <v>313</v>
      </c>
      <c r="G24" s="56" t="s">
        <v>314</v>
      </c>
      <c r="H24" s="57">
        <v>2026.0</v>
      </c>
      <c r="I24" s="57" t="s">
        <v>315</v>
      </c>
      <c r="J24" s="57" t="s">
        <v>387</v>
      </c>
      <c r="K24" s="56" t="s">
        <v>318</v>
      </c>
      <c r="L24" s="63"/>
      <c r="M24" s="63"/>
      <c r="N24" s="63"/>
      <c r="O24" s="58" t="s">
        <v>394</v>
      </c>
      <c r="P24" s="63"/>
      <c r="Q24" s="63"/>
      <c r="R24" s="63"/>
      <c r="S24" s="63"/>
      <c r="T24" s="57" t="s">
        <v>392</v>
      </c>
      <c r="U24" s="63"/>
      <c r="V24" s="82">
        <v>1.0</v>
      </c>
      <c r="W24" s="67" t="s">
        <v>465</v>
      </c>
      <c r="X24" s="67" t="s">
        <v>466</v>
      </c>
      <c r="Y24" s="57" t="s">
        <v>355</v>
      </c>
      <c r="Z24" s="58" t="s">
        <v>395</v>
      </c>
      <c r="AA24" s="58" t="s">
        <v>322</v>
      </c>
      <c r="AB24" s="58" t="s">
        <v>340</v>
      </c>
      <c r="AC24" s="58" t="s">
        <v>341</v>
      </c>
    </row>
    <row r="25">
      <c r="A25" s="78">
        <v>103.0</v>
      </c>
      <c r="B25" s="84" t="s">
        <v>222</v>
      </c>
      <c r="C25" s="59" t="s">
        <v>52</v>
      </c>
      <c r="D25" s="67" t="s">
        <v>474</v>
      </c>
      <c r="E25" s="61" t="s">
        <v>312</v>
      </c>
      <c r="F25" s="56" t="s">
        <v>313</v>
      </c>
      <c r="G25" s="56" t="s">
        <v>314</v>
      </c>
      <c r="H25" s="57">
        <v>2026.0</v>
      </c>
      <c r="I25" s="57" t="s">
        <v>315</v>
      </c>
      <c r="J25" s="57" t="s">
        <v>387</v>
      </c>
      <c r="K25" s="56" t="s">
        <v>318</v>
      </c>
      <c r="L25" s="63"/>
      <c r="M25" s="63"/>
      <c r="N25" s="63"/>
      <c r="O25" s="58" t="s">
        <v>397</v>
      </c>
      <c r="P25" s="58" t="s">
        <v>400</v>
      </c>
      <c r="Q25" s="58" t="s">
        <v>401</v>
      </c>
      <c r="R25" s="58" t="s">
        <v>207</v>
      </c>
      <c r="S25" s="58" t="s">
        <v>207</v>
      </c>
      <c r="T25" s="57" t="s">
        <v>392</v>
      </c>
      <c r="U25" s="63"/>
      <c r="V25" s="82">
        <v>1.0</v>
      </c>
      <c r="W25" s="67" t="s">
        <v>465</v>
      </c>
      <c r="X25" s="67" t="s">
        <v>466</v>
      </c>
      <c r="Y25" s="57" t="s">
        <v>355</v>
      </c>
      <c r="Z25" s="58" t="s">
        <v>402</v>
      </c>
      <c r="AA25" s="58" t="s">
        <v>322</v>
      </c>
      <c r="AB25" s="58" t="s">
        <v>340</v>
      </c>
      <c r="AC25" s="58" t="s">
        <v>341</v>
      </c>
    </row>
    <row r="26">
      <c r="A26" s="78">
        <v>104.0</v>
      </c>
      <c r="B26" s="67" t="s">
        <v>222</v>
      </c>
      <c r="C26" s="59" t="s">
        <v>52</v>
      </c>
      <c r="D26" s="67" t="s">
        <v>403</v>
      </c>
      <c r="E26" s="61" t="s">
        <v>312</v>
      </c>
      <c r="F26" s="56" t="s">
        <v>313</v>
      </c>
      <c r="G26" s="56" t="s">
        <v>314</v>
      </c>
      <c r="H26" s="57">
        <v>2026.0</v>
      </c>
      <c r="I26" s="57" t="s">
        <v>315</v>
      </c>
      <c r="J26" s="57" t="s">
        <v>387</v>
      </c>
      <c r="K26" s="56" t="s">
        <v>318</v>
      </c>
      <c r="L26" s="63"/>
      <c r="M26" s="63"/>
      <c r="N26" s="63"/>
      <c r="O26" s="58" t="s">
        <v>404</v>
      </c>
      <c r="P26" s="58" t="s">
        <v>400</v>
      </c>
      <c r="Q26" s="58" t="s">
        <v>401</v>
      </c>
      <c r="R26" s="58" t="s">
        <v>207</v>
      </c>
      <c r="S26" s="58" t="s">
        <v>207</v>
      </c>
      <c r="T26" s="57" t="s">
        <v>392</v>
      </c>
      <c r="U26" s="63"/>
      <c r="V26" s="63"/>
      <c r="W26" s="67" t="s">
        <v>380</v>
      </c>
      <c r="X26" s="67" t="s">
        <v>381</v>
      </c>
      <c r="Y26" s="57" t="s">
        <v>355</v>
      </c>
      <c r="Z26" s="58" t="s">
        <v>405</v>
      </c>
      <c r="AA26" s="58" t="s">
        <v>322</v>
      </c>
      <c r="AB26" s="58" t="s">
        <v>340</v>
      </c>
      <c r="AC26" s="58" t="s">
        <v>341</v>
      </c>
    </row>
    <row r="27">
      <c r="A27" s="78">
        <v>105.0</v>
      </c>
      <c r="B27" s="67" t="s">
        <v>222</v>
      </c>
      <c r="C27" s="59" t="s">
        <v>52</v>
      </c>
      <c r="D27" s="67" t="s">
        <v>406</v>
      </c>
      <c r="E27" s="61" t="s">
        <v>312</v>
      </c>
      <c r="F27" s="56" t="s">
        <v>313</v>
      </c>
      <c r="G27" s="56" t="s">
        <v>314</v>
      </c>
      <c r="H27" s="57">
        <v>2026.0</v>
      </c>
      <c r="I27" s="57" t="s">
        <v>315</v>
      </c>
      <c r="J27" s="57" t="s">
        <v>387</v>
      </c>
      <c r="K27" s="56" t="s">
        <v>318</v>
      </c>
      <c r="L27" s="63"/>
      <c r="M27" s="63"/>
      <c r="N27" s="63"/>
      <c r="O27" s="58" t="s">
        <v>407</v>
      </c>
      <c r="P27" s="58" t="s">
        <v>400</v>
      </c>
      <c r="Q27" s="58" t="s">
        <v>401</v>
      </c>
      <c r="R27" s="58" t="s">
        <v>207</v>
      </c>
      <c r="S27" s="58" t="s">
        <v>207</v>
      </c>
      <c r="T27" s="57" t="s">
        <v>392</v>
      </c>
      <c r="U27" s="63"/>
      <c r="V27" s="82">
        <v>1.0</v>
      </c>
      <c r="W27" s="67" t="s">
        <v>475</v>
      </c>
      <c r="X27" s="67" t="s">
        <v>476</v>
      </c>
      <c r="Y27" s="57" t="s">
        <v>355</v>
      </c>
      <c r="Z27" s="58" t="s">
        <v>408</v>
      </c>
      <c r="AA27" s="58" t="s">
        <v>322</v>
      </c>
      <c r="AB27" s="58" t="s">
        <v>340</v>
      </c>
      <c r="AC27" s="58" t="s">
        <v>341</v>
      </c>
    </row>
    <row r="28">
      <c r="A28" s="78">
        <v>106.0</v>
      </c>
      <c r="B28" s="67" t="s">
        <v>222</v>
      </c>
      <c r="C28" s="59" t="s">
        <v>52</v>
      </c>
      <c r="D28" s="67" t="s">
        <v>409</v>
      </c>
      <c r="E28" s="61" t="s">
        <v>312</v>
      </c>
      <c r="F28" s="56" t="s">
        <v>313</v>
      </c>
      <c r="G28" s="56" t="s">
        <v>314</v>
      </c>
      <c r="H28" s="57">
        <v>2026.0</v>
      </c>
      <c r="I28" s="57" t="s">
        <v>315</v>
      </c>
      <c r="J28" s="57" t="s">
        <v>387</v>
      </c>
      <c r="K28" s="56" t="s">
        <v>318</v>
      </c>
      <c r="L28" s="63"/>
      <c r="M28" s="63"/>
      <c r="N28" s="63"/>
      <c r="O28" s="58" t="s">
        <v>410</v>
      </c>
      <c r="P28" s="58" t="s">
        <v>411</v>
      </c>
      <c r="Q28" s="58" t="s">
        <v>401</v>
      </c>
      <c r="R28" s="58" t="s">
        <v>207</v>
      </c>
      <c r="S28" s="58" t="s">
        <v>207</v>
      </c>
      <c r="T28" s="57" t="s">
        <v>392</v>
      </c>
      <c r="U28" s="63"/>
      <c r="V28" s="82">
        <v>1.0</v>
      </c>
      <c r="W28" s="67" t="s">
        <v>477</v>
      </c>
      <c r="X28" s="63"/>
      <c r="Y28" s="57" t="s">
        <v>355</v>
      </c>
      <c r="Z28" s="58" t="s">
        <v>412</v>
      </c>
      <c r="AA28" s="58" t="s">
        <v>322</v>
      </c>
      <c r="AB28" s="58" t="s">
        <v>340</v>
      </c>
      <c r="AC28" s="58" t="s">
        <v>341</v>
      </c>
    </row>
    <row r="29">
      <c r="A29" s="78">
        <v>107.0</v>
      </c>
      <c r="B29" s="67" t="s">
        <v>222</v>
      </c>
      <c r="C29" s="59" t="s">
        <v>52</v>
      </c>
      <c r="D29" s="67" t="s">
        <v>413</v>
      </c>
      <c r="E29" s="61" t="s">
        <v>312</v>
      </c>
      <c r="F29" s="56" t="s">
        <v>326</v>
      </c>
      <c r="G29" s="56" t="s">
        <v>327</v>
      </c>
      <c r="H29" s="66"/>
      <c r="I29" s="66"/>
      <c r="J29" s="57" t="s">
        <v>328</v>
      </c>
      <c r="K29" s="56" t="s">
        <v>318</v>
      </c>
      <c r="L29" s="63"/>
      <c r="M29" s="63"/>
      <c r="N29" s="67" t="s">
        <v>414</v>
      </c>
      <c r="O29" s="58" t="s">
        <v>478</v>
      </c>
      <c r="P29" s="63"/>
      <c r="Q29" s="58" t="s">
        <v>337</v>
      </c>
      <c r="R29" s="58" t="s">
        <v>250</v>
      </c>
      <c r="S29" s="58" t="s">
        <v>338</v>
      </c>
      <c r="T29" s="57" t="s">
        <v>392</v>
      </c>
      <c r="U29" s="63"/>
      <c r="V29" s="82">
        <v>1.0</v>
      </c>
      <c r="W29" s="67" t="s">
        <v>475</v>
      </c>
      <c r="X29" s="67" t="s">
        <v>476</v>
      </c>
      <c r="Y29" s="57" t="s">
        <v>355</v>
      </c>
      <c r="Z29" s="58" t="s">
        <v>416</v>
      </c>
      <c r="AA29" s="58" t="s">
        <v>322</v>
      </c>
      <c r="AB29" s="58" t="s">
        <v>340</v>
      </c>
      <c r="AC29" s="58" t="s">
        <v>341</v>
      </c>
    </row>
    <row r="30">
      <c r="A30" s="78">
        <v>108.0</v>
      </c>
      <c r="B30" s="67" t="s">
        <v>222</v>
      </c>
      <c r="C30" s="59" t="s">
        <v>52</v>
      </c>
      <c r="D30" s="67" t="s">
        <v>417</v>
      </c>
      <c r="E30" s="61" t="s">
        <v>312</v>
      </c>
      <c r="F30" s="56" t="s">
        <v>326</v>
      </c>
      <c r="G30" s="56" t="s">
        <v>327</v>
      </c>
      <c r="H30" s="66"/>
      <c r="I30" s="66"/>
      <c r="J30" s="57" t="s">
        <v>387</v>
      </c>
      <c r="K30" s="56" t="s">
        <v>318</v>
      </c>
      <c r="L30" s="63"/>
      <c r="M30" s="63"/>
      <c r="N30" s="63"/>
      <c r="O30" s="63"/>
      <c r="P30" s="63"/>
      <c r="Q30" s="63"/>
      <c r="R30" s="63"/>
      <c r="S30" s="63"/>
      <c r="T30" s="57" t="s">
        <v>392</v>
      </c>
      <c r="U30" s="63"/>
      <c r="V30" s="82">
        <v>1.0</v>
      </c>
      <c r="W30" s="67" t="s">
        <v>479</v>
      </c>
      <c r="X30" s="67" t="s">
        <v>480</v>
      </c>
      <c r="Y30" s="57" t="s">
        <v>355</v>
      </c>
      <c r="Z30" s="58" t="s">
        <v>419</v>
      </c>
      <c r="AA30" s="58" t="s">
        <v>322</v>
      </c>
      <c r="AB30" s="58" t="s">
        <v>340</v>
      </c>
      <c r="AC30" s="58" t="s">
        <v>341</v>
      </c>
    </row>
    <row r="31">
      <c r="A31" s="78">
        <v>109.0</v>
      </c>
      <c r="B31" s="67" t="s">
        <v>222</v>
      </c>
      <c r="C31" s="59" t="s">
        <v>52</v>
      </c>
      <c r="D31" s="67" t="s">
        <v>420</v>
      </c>
      <c r="E31" s="61" t="s">
        <v>312</v>
      </c>
      <c r="F31" s="56" t="s">
        <v>326</v>
      </c>
      <c r="G31" s="56" t="s">
        <v>327</v>
      </c>
      <c r="H31" s="66"/>
      <c r="I31" s="66"/>
      <c r="J31" s="57" t="s">
        <v>366</v>
      </c>
      <c r="K31" s="56" t="s">
        <v>318</v>
      </c>
      <c r="L31" s="63"/>
      <c r="M31" s="58" t="s">
        <v>421</v>
      </c>
      <c r="N31" s="63"/>
      <c r="O31" s="58" t="s">
        <v>422</v>
      </c>
      <c r="P31" s="58" t="s">
        <v>391</v>
      </c>
      <c r="Q31" s="58" t="s">
        <v>337</v>
      </c>
      <c r="R31" s="58" t="s">
        <v>338</v>
      </c>
      <c r="S31" s="63"/>
      <c r="T31" s="57" t="s">
        <v>392</v>
      </c>
      <c r="U31" s="63"/>
      <c r="V31" s="82">
        <v>1.0</v>
      </c>
      <c r="W31" s="67" t="s">
        <v>465</v>
      </c>
      <c r="X31" s="67" t="s">
        <v>466</v>
      </c>
      <c r="Y31" s="57" t="s">
        <v>355</v>
      </c>
      <c r="Z31" s="58" t="s">
        <v>419</v>
      </c>
      <c r="AA31" s="58" t="s">
        <v>322</v>
      </c>
      <c r="AB31" s="58" t="s">
        <v>340</v>
      </c>
      <c r="AC31" s="58" t="s">
        <v>341</v>
      </c>
    </row>
    <row r="32">
      <c r="A32" s="78">
        <v>110.0</v>
      </c>
      <c r="B32" s="67" t="s">
        <v>222</v>
      </c>
      <c r="C32" s="59" t="s">
        <v>52</v>
      </c>
      <c r="D32" s="67" t="s">
        <v>424</v>
      </c>
      <c r="E32" s="61" t="s">
        <v>312</v>
      </c>
      <c r="F32" s="56" t="s">
        <v>326</v>
      </c>
      <c r="G32" s="56" t="s">
        <v>327</v>
      </c>
      <c r="H32" s="66"/>
      <c r="I32" s="66"/>
      <c r="J32" s="57" t="s">
        <v>366</v>
      </c>
      <c r="K32" s="56" t="s">
        <v>318</v>
      </c>
      <c r="L32" s="63"/>
      <c r="M32" s="63"/>
      <c r="N32" s="58" t="s">
        <v>425</v>
      </c>
      <c r="O32" s="58" t="s">
        <v>426</v>
      </c>
      <c r="P32" s="58" t="s">
        <v>391</v>
      </c>
      <c r="Q32" s="58" t="s">
        <v>337</v>
      </c>
      <c r="R32" s="58" t="s">
        <v>427</v>
      </c>
      <c r="S32" s="58" t="s">
        <v>338</v>
      </c>
      <c r="T32" s="57" t="s">
        <v>392</v>
      </c>
      <c r="U32" s="63"/>
      <c r="V32" s="82">
        <v>1.0</v>
      </c>
      <c r="W32" s="67" t="s">
        <v>465</v>
      </c>
      <c r="X32" s="67" t="s">
        <v>481</v>
      </c>
      <c r="Y32" s="57" t="s">
        <v>355</v>
      </c>
      <c r="Z32" s="58" t="s">
        <v>419</v>
      </c>
      <c r="AA32" s="58" t="s">
        <v>322</v>
      </c>
      <c r="AB32" s="58" t="s">
        <v>340</v>
      </c>
      <c r="AC32" s="58" t="s">
        <v>341</v>
      </c>
    </row>
    <row r="33">
      <c r="A33" s="78">
        <v>112.0</v>
      </c>
      <c r="B33" s="67" t="s">
        <v>428</v>
      </c>
      <c r="C33" s="59" t="s">
        <v>52</v>
      </c>
      <c r="D33" s="67" t="s">
        <v>428</v>
      </c>
      <c r="E33" s="61" t="s">
        <v>312</v>
      </c>
      <c r="F33" s="56" t="s">
        <v>313</v>
      </c>
      <c r="G33" s="56" t="s">
        <v>314</v>
      </c>
      <c r="H33" s="57">
        <v>2026.0</v>
      </c>
      <c r="I33" s="57" t="s">
        <v>315</v>
      </c>
      <c r="J33" s="57" t="s">
        <v>387</v>
      </c>
      <c r="K33" s="56" t="s">
        <v>318</v>
      </c>
      <c r="L33" s="63"/>
      <c r="M33" s="63"/>
      <c r="N33" s="63"/>
      <c r="O33" s="58" t="s">
        <v>429</v>
      </c>
      <c r="P33" s="63"/>
      <c r="Q33" s="63"/>
      <c r="R33" s="63"/>
      <c r="S33" s="63"/>
      <c r="T33" s="57" t="s">
        <v>369</v>
      </c>
      <c r="U33" s="63"/>
      <c r="V33" s="63"/>
      <c r="W33" s="67" t="s">
        <v>428</v>
      </c>
      <c r="X33" s="67" t="s">
        <v>428</v>
      </c>
      <c r="Y33" s="56" t="s">
        <v>321</v>
      </c>
      <c r="Z33" s="63"/>
      <c r="AA33" s="58" t="s">
        <v>322</v>
      </c>
      <c r="AB33" s="58" t="s">
        <v>340</v>
      </c>
      <c r="AC33" s="58" t="s">
        <v>341</v>
      </c>
    </row>
    <row r="34">
      <c r="A34" s="78">
        <v>126.0</v>
      </c>
      <c r="B34" s="67" t="s">
        <v>430</v>
      </c>
      <c r="C34" s="66"/>
      <c r="D34" s="67" t="s">
        <v>430</v>
      </c>
      <c r="E34" s="61" t="s">
        <v>312</v>
      </c>
      <c r="F34" s="56" t="s">
        <v>313</v>
      </c>
      <c r="G34" s="56" t="s">
        <v>345</v>
      </c>
      <c r="H34" s="57">
        <v>2025.0</v>
      </c>
      <c r="I34" s="57" t="s">
        <v>358</v>
      </c>
      <c r="J34" s="57" t="s">
        <v>316</v>
      </c>
      <c r="K34" s="56" t="s">
        <v>318</v>
      </c>
      <c r="L34" s="63"/>
      <c r="M34" s="63"/>
      <c r="N34" s="63"/>
      <c r="O34" s="63"/>
      <c r="P34" s="63"/>
      <c r="Q34" s="63"/>
      <c r="R34" s="63"/>
      <c r="S34" s="63"/>
      <c r="T34" s="66"/>
      <c r="U34" s="63"/>
      <c r="V34" s="63"/>
      <c r="W34" s="63"/>
      <c r="X34" s="63"/>
      <c r="Y34" s="56" t="s">
        <v>383</v>
      </c>
      <c r="Z34" s="63"/>
      <c r="AA34" s="58" t="s">
        <v>322</v>
      </c>
      <c r="AB34" s="58" t="s">
        <v>340</v>
      </c>
      <c r="AC34" s="58" t="s">
        <v>341</v>
      </c>
    </row>
  </sheetData>
  <mergeCells count="3">
    <mergeCell ref="B1:D1"/>
    <mergeCell ref="W1:X1"/>
    <mergeCell ref="AA1:AC1"/>
  </mergeCells>
  <dataValidations>
    <dataValidation type="list" allowBlank="1" showErrorMessage="1" sqref="G3:G34">
      <formula1>"2023 Q1,2023 Q2,2023 Q3,2023 Q4,2024 Q1,2024 Q2,2024 Q3,2024 Q4,2025 Q1,2025 Q2,2025 Q3,2025 Q4,2026 Q1,2026 Q2,2026 Q3,2026 Q4,Sin Decomiso,2020 Q1,2020 Q2,2020 Q3,2020 Q4,2027 Q1,2027 Q2,2027 Q3,2027 Q4"</formula1>
    </dataValidation>
    <dataValidation type="list" allowBlank="1" showErrorMessage="1" sqref="E3:E34">
      <formula1>"Legales y Complementarios,Financieros,Data,Componentes Digitales,Automatizaciones,Fabrica Digital,Explotación,Producción,Gobierno TI"</formula1>
    </dataValidation>
    <dataValidation type="list" allowBlank="1" showErrorMessage="1" sqref="I3:I34">
      <formula1>"Q1,Q2,Q3,Q4,Ya Decomisado,N/A"</formula1>
    </dataValidation>
    <dataValidation type="list" allowBlank="1" showErrorMessage="1" sqref="C3:C34">
      <formula1>"No,Si"</formula1>
    </dataValidation>
    <dataValidation type="list" allowBlank="1" showErrorMessage="1" sqref="H3:H34">
      <formula1>"2023,2024,2025,2026,2020,2027,N/A"</formula1>
    </dataValidation>
    <dataValidation type="list" allowBlank="1" showErrorMessage="1" sqref="K3:K34">
      <formula1>"Patricio Alegria,Argenis Rojas,Cristian Vera,Cristian Cofre,Rodrigo Ojeda,Nicolas Garcia,Raul Gaete,Enzo Lastra,Luis Gonzalez"</formula1>
    </dataValidation>
    <dataValidation type="list" allowBlank="1" showErrorMessage="1" sqref="AC3:AC34">
      <formula1>'Hoja Datos auxiliar'!$C$2:$C$45</formula1>
    </dataValidation>
    <dataValidation type="list" allowBlank="1" showErrorMessage="1" sqref="J3:J34">
      <formula1>"Sin Decomisar Aún,En Proceso,Decomisado,Con Plan de Decomiso,No será decomisado,En Analisis,Upgrade,No está en uso"</formula1>
    </dataValidation>
    <dataValidation type="list" allowBlank="1" showErrorMessage="1" sqref="T3:T34">
      <formula1>"Dado de Baja,GCP,OCI,On Premise,SaaS Tercero"</formula1>
    </dataValidation>
    <dataValidation type="list" allowBlank="1" showErrorMessage="1" sqref="AA3:AA34">
      <formula1>'Hoja Datos auxiliar'!$A$2:$A$45</formula1>
    </dataValidation>
    <dataValidation type="list" allowBlank="1" showErrorMessage="1" sqref="AB3:AB34">
      <formula1>'Hoja Datos auxiliar'!$B$2:$B$330</formula1>
    </dataValidation>
    <dataValidation type="list" allowBlank="1" showErrorMessage="1" sqref="F3:F34">
      <formula1>"S,N,Cerrado"</formula1>
    </dataValidation>
  </dataValidations>
  <hyperlinks>
    <hyperlink r:id="rId2" ref="M5"/>
    <hyperlink r:id="rId3" ref="M13"/>
    <hyperlink r:id="rId4" ref="M14"/>
    <hyperlink r:id="rId5" ref="M15"/>
    <hyperlink r:id="rId6" ref="M18"/>
    <hyperlink r:id="rId7" location="gid=1570526564&amp;range=A38" ref="D19"/>
    <hyperlink r:id="rId8" location="gid=1570526564&amp;range=A9" ref="D20"/>
    <hyperlink r:id="rId9" ref="M20"/>
    <hyperlink r:id="rId10" location="gid=1570526564&amp;range=A42" ref="D21"/>
    <hyperlink r:id="rId11" location="gid=1570526564&amp;range=A31" ref="D22"/>
  </hyperlinks>
  <drawing r:id="rId12"/>
  <legacyDrawing r:id="rId13"/>
</worksheet>
</file>